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Decisions" sheetId="3" state="visible" r:id="rId3"/>
  </sheets>
  <definedNames>
    <definedName name="_xlnm._FilterDatabase" localSheetId="1" hidden="1">'Findings'!$A$1:$O$320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352"/>
      <sz val="16"/>
    </font>
    <font>
      <name val="Arial"/>
      <i val="1"/>
      <color rgb="005A6875"/>
      <sz val="10"/>
    </font>
    <font>
      <name val="Arial"/>
      <sz val="10"/>
    </font>
    <font>
      <name val="Arial"/>
      <b val="1"/>
      <color rgb="001F3352"/>
      <sz val="11"/>
    </font>
    <font>
      <name val="Arial"/>
      <b val="1"/>
      <color rgb="001F3352"/>
      <sz val="10"/>
    </font>
    <font>
      <name val="Arial"/>
      <b val="1"/>
      <color rgb="00FFFFFF"/>
      <sz val="10"/>
    </font>
    <font>
      <name val="Arial"/>
      <i val="1"/>
      <color rgb="008A7A2E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1F3352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FFF6CC"/>
      </patternFill>
    </fill>
    <fill>
      <patternFill patternType="solid">
        <fgColor rgb="00F0785A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6CDD6"/>
      </left>
      <right style="thin">
        <color rgb="00C6CDD6"/>
      </right>
      <top style="thin">
        <color rgb="00C6CDD6"/>
      </top>
      <bottom style="thin">
        <color rgb="00C6CD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5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0" fontId="9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8" fillId="2" borderId="0" applyAlignment="1" pivotButton="0" quotePrefix="0" xfId="0">
      <alignment vertical="center" indent="1"/>
    </xf>
    <xf numFmtId="0" fontId="10" fillId="0" borderId="0" pivotButton="0" quotePrefix="0" xfId="0"/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2" customWidth="1" min="2" max="2"/>
  </cols>
  <sheetData>
    <row r="1" ht="22" customHeight="1">
      <c r="A1" s="1" t="inlineStr">
        <is>
          <t>UCG Platform - Stress Test Feedback (Nate)</t>
        </is>
      </c>
    </row>
    <row r="2">
      <c r="A2" s="2" t="inlineStr">
        <is>
          <t>Companion to docs/plans/2026-08-19-uat-stress-test-plan.md</t>
        </is>
      </c>
    </row>
    <row r="3">
      <c r="A3" s="3" t="inlineStr"/>
    </row>
    <row r="4">
      <c r="A4" s="4" t="inlineStr">
        <is>
          <t>HOW TO USE THIS FILE</t>
        </is>
      </c>
    </row>
    <row r="5">
      <c r="A5" s="3" t="inlineStr">
        <is>
          <t>1. Go to the Findings tab. Every step from the plan is already there, in order.</t>
        </is>
      </c>
    </row>
    <row r="6">
      <c r="A6" s="3" t="inlineStr">
        <is>
          <t>2. Fill in the Result column for EVERY step - including the ones that pass.</t>
        </is>
      </c>
    </row>
    <row r="7">
      <c r="A7" s="3" t="inlineStr">
        <is>
          <t xml:space="preserve">   A PASS row takes two seconds and is what makes the untested gaps visible.</t>
        </is>
      </c>
    </row>
    <row r="8">
      <c r="A8" s="3" t="inlineStr">
        <is>
          <t>3. Only fill the rest of the row when it is NOT a plain PASS.</t>
        </is>
      </c>
    </row>
    <row r="9">
      <c r="A9" s="3" t="inlineStr">
        <is>
          <t>4. Anything BROKEN: file it in-app first (Report a problem), THEN add the row here.</t>
        </is>
      </c>
    </row>
    <row r="10">
      <c r="A10" s="3" t="inlineStr">
        <is>
          <t xml:space="preserve">   The in-app widget captures the console-error buffer, which is overwritten as you</t>
        </is>
      </c>
    </row>
    <row r="11">
      <c r="A11" s="3" t="inlineStr">
        <is>
          <t xml:space="preserve">   keep clicking. Start that description with the Finding ID and your initials.</t>
        </is>
      </c>
    </row>
    <row r="12">
      <c r="A12" s="3" t="inlineStr">
        <is>
          <t>5. Blank rows at the bottom of Findings are for anything not tied to a step.</t>
        </is>
      </c>
    </row>
    <row r="13">
      <c r="A13" s="3" t="inlineStr">
        <is>
          <t>6. Answer the Decisions tab whenever you like - no testing needed for those.</t>
        </is>
      </c>
    </row>
    <row r="14">
      <c r="A14" s="3" t="inlineStr"/>
    </row>
    <row r="15">
      <c r="A15" s="4" t="inlineStr">
        <is>
          <t>WHICH CELLS YOU EDIT</t>
        </is>
      </c>
    </row>
    <row r="16">
      <c r="A16" s="3" t="inlineStr">
        <is>
          <t>Yellow-filled cells are yours. Grey cells are pre-filled from the plan - leave them.</t>
        </is>
      </c>
    </row>
    <row r="17">
      <c r="A17" s="3" t="inlineStr">
        <is>
          <t>The Lane column fills itself in from the Step ID.</t>
        </is>
      </c>
    </row>
    <row r="18">
      <c r="A18" s="3" t="inlineStr"/>
    </row>
    <row r="19">
      <c r="A19" s="4" t="inlineStr">
        <is>
          <t>BEFORE YOU FILE 'IT DIDN'T UPDATE'</t>
        </is>
      </c>
    </row>
    <row r="20">
      <c r="A20" s="3" t="inlineStr">
        <is>
          <t>Hard-reload once (Ctrl+Shift+R / Cmd+Shift+R), then answer the 'Hard reload fix it?'</t>
        </is>
      </c>
    </row>
    <row r="21">
      <c r="A21" s="3" t="inlineStr">
        <is>
          <t>column. Live updates are wired for SCORES ONLY - most other cross-device changes</t>
        </is>
      </c>
    </row>
    <row r="22">
      <c r="A22" s="3" t="inlineStr">
        <is>
          <t>legitimately need a refresh. This one column saves a triage cycle every time.</t>
        </is>
      </c>
    </row>
    <row r="23">
      <c r="A23" s="3" t="inlineStr"/>
    </row>
    <row r="24">
      <c r="A24" s="4" t="inlineStr">
        <is>
          <t>TEST DATA</t>
        </is>
      </c>
    </row>
    <row r="25">
      <c r="A25" s="3" t="inlineStr">
        <is>
          <t>Prefix everything you create with  ZZTEST-  so the pre-launch sweep is a search,</t>
        </is>
      </c>
    </row>
    <row r="26">
      <c r="A26" s="3" t="inlineStr">
        <is>
          <t>not an excavation. Forgot? Say so in Notes. Do NOT delete as you go - a broken row</t>
        </is>
      </c>
    </row>
    <row r="27">
      <c r="A27" s="3" t="inlineStr">
        <is>
          <t>is often the evidence.</t>
        </is>
      </c>
    </row>
    <row r="28">
      <c r="A28" s="3" t="inlineStr"/>
    </row>
    <row r="29">
      <c r="A29" s="4" t="inlineStr">
        <is>
          <t>SCREENSHOTS</t>
        </is>
      </c>
    </row>
    <row r="30">
      <c r="A30" s="3" t="inlineStr">
        <is>
          <t>Filename:  &lt;Finding ID&gt;_&lt;seq&gt;_&lt;your initials&gt;.png     e.g.  M-07-01_01_JB.png</t>
        </is>
      </c>
    </row>
    <row r="31">
      <c r="A31" s="3" t="inlineStr">
        <is>
          <t>Include the address bar. Annotate the exact element. Use a screen RECORDING for</t>
        </is>
      </c>
    </row>
    <row r="32">
      <c r="A32" s="3" t="inlineStr">
        <is>
          <t>anything with motion. For money bugs, capture line items AND the total in one frame.</t>
        </is>
      </c>
    </row>
    <row r="33">
      <c r="A33" s="3" t="inlineStr">
        <is>
          <t>One flat folder - no subfolders; the filename already carries the structure.</t>
        </is>
      </c>
    </row>
    <row r="34">
      <c r="A34" s="3" t="inlineStr"/>
    </row>
    <row r="35">
      <c r="A35" s="4" t="inlineStr">
        <is>
          <t>SEVERITY</t>
        </is>
      </c>
    </row>
    <row r="36">
      <c r="A36" s="3" t="inlineStr">
        <is>
          <t>S1  Blocker - a core flow can't complete, or money/data is wrong</t>
        </is>
      </c>
    </row>
    <row r="37">
      <c r="A37" s="3" t="inlineStr">
        <is>
          <t>S2  Major - broken or badly wrong, but there is a workaround</t>
        </is>
      </c>
    </row>
    <row r="38">
      <c r="A38" s="3" t="inlineStr">
        <is>
          <t>S3  Minor - works, but wrong in a way a user would notice</t>
        </is>
      </c>
    </row>
    <row r="39">
      <c r="A39" s="3" t="inlineStr">
        <is>
          <t>S4  Polish - cosmetic</t>
        </is>
      </c>
    </row>
    <row r="40">
      <c r="A40" s="3" t="inlineStr">
        <is>
          <t>Q   Question - you can't tell whether it's wrong</t>
        </is>
      </c>
    </row>
    <row r="41">
      <c r="A41" s="3" t="inlineStr">
        <is>
          <t>D   Decision needed - works as built, but is it what we want?  &lt;- most valuable</t>
        </is>
      </c>
    </row>
    <row r="42">
      <c r="A42" s="3" t="inlineStr"/>
    </row>
    <row r="43">
      <c r="A43" s="4" t="inlineStr">
        <is>
          <t>RESULT CODES</t>
        </is>
      </c>
    </row>
    <row r="44">
      <c r="A44" s="3" t="inlineStr">
        <is>
          <t>PASS / FAIL / MISSING (described behavior doesn't exist) / UNCLEAR (couldn't tell) /</t>
        </is>
      </c>
    </row>
    <row r="45">
      <c r="A45" s="3" t="inlineStr">
        <is>
          <t>BLOCKED (couldn't get to it) / N/A (doesn't apply to you)</t>
        </is>
      </c>
    </row>
    <row r="46">
      <c r="A46" s="3" t="inlineStr"/>
    </row>
    <row r="47">
      <c r="A47" s="4" t="inlineStr">
        <is>
          <t>PROGRESS</t>
        </is>
      </c>
    </row>
    <row r="48">
      <c r="A48" s="3" t="inlineStr">
        <is>
          <t>Steps in the plan</t>
        </is>
      </c>
      <c r="B48" s="5">
        <f>COUNTIF(Findings!A3:A2000,"?-??")</f>
        <v/>
      </c>
    </row>
    <row r="49">
      <c r="A49" s="3" t="inlineStr">
        <is>
          <t>Steps with a Result filled in</t>
        </is>
      </c>
      <c r="B49" s="5">
        <f>COUNTIFS(Findings!A3:A2000,"?-??",Findings!D3:D2000,"&lt;&gt;")</f>
        <v/>
      </c>
    </row>
    <row r="50">
      <c r="A50" s="3" t="inlineStr">
        <is>
          <t>Still to do</t>
        </is>
      </c>
      <c r="B50" s="5">
        <f>COUNTIF(Findings!A3:A2000,"?-??")-COUNTIFS(Findings!A3:A2000,"?-??",Findings!D3:D2000,"&lt;&gt;")</f>
        <v/>
      </c>
    </row>
    <row r="52">
      <c r="A52" s="3" t="inlineStr">
        <is>
          <t>PASS</t>
        </is>
      </c>
      <c r="B52" s="5">
        <f>COUNTIF(Findings!D3:D2000,"PASS")</f>
        <v/>
      </c>
    </row>
    <row r="53">
      <c r="A53" s="3" t="inlineStr">
        <is>
          <t>FAIL</t>
        </is>
      </c>
      <c r="B53" s="5">
        <f>COUNTIF(Findings!D3:D2000,"FAIL")</f>
        <v/>
      </c>
    </row>
    <row r="54">
      <c r="A54" s="3" t="inlineStr">
        <is>
          <t>MISSING</t>
        </is>
      </c>
      <c r="B54" s="5">
        <f>COUNTIF(Findings!D3:D2000,"MISSING")</f>
        <v/>
      </c>
    </row>
    <row r="55">
      <c r="A55" s="3" t="inlineStr">
        <is>
          <t>UNCLEAR</t>
        </is>
      </c>
      <c r="B55" s="5">
        <f>COUNTIF(Findings!D3:D2000,"UNCLEAR")</f>
        <v/>
      </c>
    </row>
    <row r="56">
      <c r="A56" s="3" t="inlineStr">
        <is>
          <t>BLOCKED</t>
        </is>
      </c>
      <c r="B56" s="5">
        <f>COUNTIF(Findings!D3:D2000,"BLOCKED")</f>
        <v/>
      </c>
    </row>
    <row r="58">
      <c r="A58" s="3" t="inlineStr">
        <is>
          <t>S1 blockers</t>
        </is>
      </c>
      <c r="B58" s="5">
        <f>COUNTIF(Findings!F3:F2000,"S1")</f>
        <v/>
      </c>
    </row>
    <row r="59">
      <c r="A59" s="3" t="inlineStr">
        <is>
          <t>S2 major</t>
        </is>
      </c>
      <c r="B59" s="5">
        <f>COUNTIF(Findings!F3:F2000,"S2")</f>
        <v/>
      </c>
    </row>
    <row r="60">
      <c r="A60" s="3" t="inlineStr">
        <is>
          <t>Decisions raised (D)</t>
        </is>
      </c>
      <c r="B60" s="5">
        <f>COUNTIF(Findings!F3:F2000,"D")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56" customWidth="1" min="3" max="3"/>
    <col width="11" customWidth="1" min="4" max="4"/>
    <col width="12" customWidth="1" min="5" max="5"/>
    <col width="10" customWidth="1" min="6" max="6"/>
    <col width="40" customWidth="1" min="7" max="7"/>
    <col width="48" customWidth="1" min="8" max="8"/>
    <col width="21" customWidth="1" min="9" max="9"/>
    <col width="17" customWidth="1" min="10" max="10"/>
    <col width="20" customWidth="1" min="11" max="11"/>
    <col width="18" customWidth="1" min="12" max="12"/>
    <col width="26" customWidth="1" min="13" max="13"/>
    <col width="15" customWidth="1" min="14" max="14"/>
    <col width="34" customWidth="1" min="15" max="15"/>
  </cols>
  <sheetData>
    <row r="1" ht="30" customHeight="1">
      <c r="A1" s="6" t="inlineStr">
        <is>
          <t>Step ID</t>
        </is>
      </c>
      <c r="B1" s="6" t="inlineStr">
        <is>
          <t>Lane</t>
        </is>
      </c>
      <c r="C1" s="6" t="inlineStr">
        <is>
          <t>Step (what to do)</t>
        </is>
      </c>
      <c r="D1" s="6" t="inlineStr">
        <is>
          <t>Result</t>
        </is>
      </c>
      <c r="E1" s="6" t="inlineStr">
        <is>
          <t>Finding ID</t>
        </is>
      </c>
      <c r="F1" s="6" t="inlineStr">
        <is>
          <t>Severity</t>
        </is>
      </c>
      <c r="G1" s="6" t="inlineStr">
        <is>
          <t>What you expected</t>
        </is>
      </c>
      <c r="H1" s="6" t="inlineStr">
        <is>
          <t>What actually happened (exact error text)</t>
        </is>
      </c>
      <c r="I1" s="6" t="inlineStr">
        <is>
          <t>Timestamp (local + tz)</t>
        </is>
      </c>
      <c r="J1" s="6" t="inlineStr">
        <is>
          <t>Hard reload fix it?</t>
        </is>
      </c>
      <c r="K1" s="6" t="inlineStr">
        <is>
          <t>Device / browser</t>
        </is>
      </c>
      <c r="L1" s="6" t="inlineStr">
        <is>
          <t>Signed in as</t>
        </is>
      </c>
      <c r="M1" s="6" t="inlineStr">
        <is>
          <t>Screenshot(s)</t>
        </is>
      </c>
      <c r="N1" s="6" t="inlineStr">
        <is>
          <t>Reported in-app?</t>
        </is>
      </c>
      <c r="O1" s="6" t="inlineStr">
        <is>
          <t>Notes</t>
        </is>
      </c>
    </row>
    <row r="2" ht="42" customHeight="1">
      <c r="A2" s="7" t="inlineStr">
        <is>
          <t>M-07</t>
        </is>
      </c>
      <c r="B2" s="7">
        <f>IFERROR(LEFT(A2,FIND("-",A2)-1),"")</f>
        <v/>
      </c>
      <c r="C2" s="7" t="inlineStr">
        <is>
          <t>EXAMPLE ROW - delete or overwrite me</t>
        </is>
      </c>
      <c r="D2" s="7" t="inlineStr">
        <is>
          <t>FAIL</t>
        </is>
      </c>
      <c r="E2" s="7" t="inlineStr">
        <is>
          <t>M-07-01</t>
        </is>
      </c>
      <c r="F2" s="7" t="inlineStr">
        <is>
          <t>S1</t>
        </is>
      </c>
      <c r="G2" s="7" t="inlineStr">
        <is>
          <t>3-D Secure challenge appears, then the payment completes</t>
        </is>
      </c>
      <c r="H2" s="7" t="inlineStr">
        <is>
          <t>Challenge appeared, I approved it, then "Something went wrong" and the cart still had the item</t>
        </is>
      </c>
      <c r="I2" s="7" t="inlineStr">
        <is>
          <t>2026-08-19 14:32 PT</t>
        </is>
      </c>
      <c r="J2" s="7" t="inlineStr">
        <is>
          <t>N</t>
        </is>
      </c>
      <c r="K2" s="7" t="inlineStr">
        <is>
          <t>Win 11 / Chrome 141</t>
        </is>
      </c>
      <c r="L2" s="7" t="inlineStr">
        <is>
          <t>Athlete (ZZTEST-Robin)</t>
        </is>
      </c>
      <c r="M2" s="7" t="inlineStr">
        <is>
          <t>M-07-01_01_JB.png, M-07-01_02_JB.png</t>
        </is>
      </c>
      <c r="N2" s="7" t="inlineStr">
        <is>
          <t>Y</t>
        </is>
      </c>
      <c r="O2" s="7" t="inlineStr">
        <is>
          <t>Reproduced twice. Stripe dashboard shows no payment attempt at all.</t>
        </is>
      </c>
    </row>
    <row r="3" ht="20" customHeight="1">
      <c r="A3" s="8" t="inlineStr">
        <is>
          <t>A  -  Accounts, auth &amp; security</t>
        </is>
      </c>
    </row>
    <row r="4" ht="15" customHeight="1">
      <c r="A4" s="9" t="inlineStr">
        <is>
          <t>A-01</t>
        </is>
      </c>
      <c r="B4" s="10">
        <f>IFERROR(LEFT(A4,FIND("-",A4)-1),"")</f>
        <v/>
      </c>
      <c r="C4" s="11" t="inlineStr">
        <is>
          <t>Sign up a brand-new account from scratch</t>
        </is>
      </c>
      <c r="D4" s="12" t="n"/>
      <c r="E4" s="13" t="n"/>
      <c r="F4" s="13" t="n"/>
      <c r="G4" s="14" t="n"/>
      <c r="H4" s="14" t="n"/>
      <c r="I4" s="13" t="n"/>
      <c r="J4" s="13" t="n"/>
      <c r="K4" s="13" t="n"/>
      <c r="L4" s="13" t="n"/>
      <c r="M4" s="13" t="n"/>
      <c r="N4" s="13" t="n"/>
      <c r="O4" s="14" t="n"/>
    </row>
    <row r="5" ht="15" customHeight="1">
      <c r="A5" s="9" t="inlineStr">
        <is>
          <t>A-02</t>
        </is>
      </c>
      <c r="B5" s="10">
        <f>IFERROR(LEFT(A5,FIND("-",A5)-1),"")</f>
        <v/>
      </c>
      <c r="C5" s="11" t="inlineStr">
        <is>
          <t>Signed out: go directly to #/admin/league</t>
        </is>
      </c>
      <c r="D5" s="12" t="n"/>
      <c r="E5" s="13" t="n"/>
      <c r="F5" s="13" t="n"/>
      <c r="G5" s="14" t="n"/>
      <c r="H5" s="14" t="n"/>
      <c r="I5" s="13" t="n"/>
      <c r="J5" s="13" t="n"/>
      <c r="K5" s="13" t="n"/>
      <c r="L5" s="13" t="n"/>
      <c r="M5" s="13" t="n"/>
      <c r="N5" s="13" t="n"/>
      <c r="O5" s="14" t="n"/>
    </row>
    <row r="6" ht="15" customHeight="1">
      <c r="A6" s="9" t="inlineStr">
        <is>
          <t>A-03</t>
        </is>
      </c>
      <c r="B6" s="10">
        <f>IFERROR(LEFT(A6,FIND("-",A6)-1),"")</f>
        <v/>
      </c>
      <c r="C6" s="11" t="inlineStr">
        <is>
          <t>Role-less athlete: try the 3 admin routes (watch for a flash of real UI)</t>
        </is>
      </c>
      <c r="D6" s="12" t="n"/>
      <c r="E6" s="13" t="n"/>
      <c r="F6" s="13" t="n"/>
      <c r="G6" s="14" t="n"/>
      <c r="H6" s="14" t="n"/>
      <c r="I6" s="13" t="n"/>
      <c r="J6" s="13" t="n"/>
      <c r="K6" s="13" t="n"/>
      <c r="L6" s="13" t="n"/>
      <c r="M6" s="13" t="n"/>
      <c r="N6" s="13" t="n"/>
      <c r="O6" s="14" t="n"/>
    </row>
    <row r="7" ht="15" customHeight="1">
      <c r="A7" s="9" t="inlineStr">
        <is>
          <t>A-04</t>
        </is>
      </c>
      <c r="B7" s="10">
        <f>IFERROR(LEFT(A7,FIND("-",A7)-1),"")</f>
        <v/>
      </c>
      <c r="C7" s="11" t="inlineStr">
        <is>
          <t>Refresh 3x while on an admin page as admin (no access-denied flash)</t>
        </is>
      </c>
      <c r="D7" s="12" t="n"/>
      <c r="E7" s="13" t="n"/>
      <c r="F7" s="13" t="n"/>
      <c r="G7" s="14" t="n"/>
      <c r="H7" s="14" t="n"/>
      <c r="I7" s="13" t="n"/>
      <c r="J7" s="13" t="n"/>
      <c r="K7" s="13" t="n"/>
      <c r="L7" s="13" t="n"/>
      <c r="M7" s="13" t="n"/>
      <c r="N7" s="13" t="n"/>
      <c r="O7" s="14" t="n"/>
    </row>
    <row r="8" ht="15" customHeight="1">
      <c r="A8" s="9" t="inlineStr">
        <is>
          <t>A-05</t>
        </is>
      </c>
      <c r="B8" s="10">
        <f>IFERROR(LEFT(A8,FIND("-",A8)-1),"")</f>
        <v/>
      </c>
      <c r="C8" s="11" t="inlineStr">
        <is>
          <t>Sign out, then press browser Back</t>
        </is>
      </c>
      <c r="D8" s="12" t="n"/>
      <c r="E8" s="13" t="n"/>
      <c r="F8" s="13" t="n"/>
      <c r="G8" s="14" t="n"/>
      <c r="H8" s="14" t="n"/>
      <c r="I8" s="13" t="n"/>
      <c r="J8" s="13" t="n"/>
      <c r="K8" s="13" t="n"/>
      <c r="L8" s="13" t="n"/>
      <c r="M8" s="13" t="n"/>
      <c r="N8" s="13" t="n"/>
      <c r="O8" s="14" t="n"/>
    </row>
    <row r="9" ht="15" customHeight="1">
      <c r="A9" s="9" t="inlineStr">
        <is>
          <t>A-06</t>
        </is>
      </c>
      <c r="B9" s="10">
        <f>IFERROR(LEFT(A9,FIND("-",A9)-1),"")</f>
        <v/>
      </c>
      <c r="C9" s="11" t="inlineStr">
        <is>
          <t>Forgot-password flow end to end</t>
        </is>
      </c>
      <c r="D9" s="12" t="n"/>
      <c r="E9" s="13" t="n"/>
      <c r="F9" s="13" t="n"/>
      <c r="G9" s="14" t="n"/>
      <c r="H9" s="14" t="n"/>
      <c r="I9" s="13" t="n"/>
      <c r="J9" s="13" t="n"/>
      <c r="K9" s="13" t="n"/>
      <c r="L9" s="13" t="n"/>
      <c r="M9" s="13" t="n"/>
      <c r="N9" s="13" t="n"/>
      <c r="O9" s="14" t="n"/>
    </row>
    <row r="10" ht="15" customHeight="1">
      <c r="A10" s="9" t="inlineStr">
        <is>
          <t>A-07</t>
        </is>
      </c>
      <c r="B10" s="10">
        <f>IFERROR(LEFT(A10,FIND("-",A10)-1),"")</f>
        <v/>
      </c>
      <c r="C10" s="11" t="inlineStr">
        <is>
          <t>Admin sends an account invite; recipient sets a password</t>
        </is>
      </c>
      <c r="D10" s="12" t="n"/>
      <c r="E10" s="13" t="n"/>
      <c r="F10" s="13" t="n"/>
      <c r="G10" s="14" t="n"/>
      <c r="H10" s="14" t="n"/>
      <c r="I10" s="13" t="n"/>
      <c r="J10" s="13" t="n"/>
      <c r="K10" s="13" t="n"/>
      <c r="L10" s="13" t="n"/>
      <c r="M10" s="13" t="n"/>
      <c r="N10" s="13" t="n"/>
      <c r="O10" s="14" t="n"/>
    </row>
    <row r="11" ht="15" customHeight="1">
      <c r="A11" s="9" t="inlineStr">
        <is>
          <t>A-08</t>
        </is>
      </c>
      <c r="B11" s="10">
        <f>IFERROR(LEFT(A11,FIND("-",A11)-1),"")</f>
        <v/>
      </c>
      <c r="C11" s="11" t="inlineStr">
        <is>
          <t>Enroll TOTP with a real authenticator app</t>
        </is>
      </c>
      <c r="D11" s="12" t="n"/>
      <c r="E11" s="13" t="n"/>
      <c r="F11" s="13" t="n"/>
      <c r="G11" s="14" t="n"/>
      <c r="H11" s="14" t="n"/>
      <c r="I11" s="13" t="n"/>
      <c r="J11" s="13" t="n"/>
      <c r="K11" s="13" t="n"/>
      <c r="L11" s="13" t="n"/>
      <c r="M11" s="13" t="n"/>
      <c r="N11" s="13" t="n"/>
      <c r="O11" s="14" t="n"/>
    </row>
    <row r="12" ht="15" customHeight="1">
      <c r="A12" s="9" t="inlineStr">
        <is>
          <t>A-09</t>
        </is>
      </c>
      <c r="B12" s="10">
        <f>IFERROR(LEFT(A12,FIND("-",A12)-1),"")</f>
        <v/>
      </c>
      <c r="C12" s="11" t="inlineStr">
        <is>
          <t>Sign out, sign back in with TOTP (wrong code, then right)</t>
        </is>
      </c>
      <c r="D12" s="12" t="n"/>
      <c r="E12" s="13" t="n"/>
      <c r="F12" s="13" t="n"/>
      <c r="G12" s="14" t="n"/>
      <c r="H12" s="14" t="n"/>
      <c r="I12" s="13" t="n"/>
      <c r="J12" s="13" t="n"/>
      <c r="K12" s="13" t="n"/>
      <c r="L12" s="13" t="n"/>
      <c r="M12" s="13" t="n"/>
      <c r="N12" s="13" t="n"/>
      <c r="O12" s="14" t="n"/>
    </row>
    <row r="13" ht="15" customHeight="1">
      <c r="A13" s="9" t="inlineStr">
        <is>
          <t>A-10</t>
        </is>
      </c>
      <c r="B13" s="10">
        <f>IFERROR(LEFT(A13,FIND("-",A13)-1),"")</f>
        <v/>
      </c>
      <c r="C13" s="11" t="inlineStr">
        <is>
          <t>Enroll a passkey on real hardware; sign in with it</t>
        </is>
      </c>
      <c r="D13" s="12" t="n"/>
      <c r="E13" s="13" t="n"/>
      <c r="F13" s="13" t="n"/>
      <c r="G13" s="14" t="n"/>
      <c r="H13" s="14" t="n"/>
      <c r="I13" s="13" t="n"/>
      <c r="J13" s="13" t="n"/>
      <c r="K13" s="13" t="n"/>
      <c r="L13" s="13" t="n"/>
      <c r="M13" s="13" t="n"/>
      <c r="N13" s="13" t="n"/>
      <c r="O13" s="14" t="n"/>
    </row>
    <row r="14" ht="15" customHeight="1">
      <c r="A14" s="9" t="inlineStr">
        <is>
          <t>A-11</t>
        </is>
      </c>
      <c r="B14" s="10">
        <f>IFERROR(LEFT(A14,FIND("-",A14)-1),"")</f>
        <v/>
      </c>
      <c r="C14" s="11" t="inlineStr">
        <is>
          <t>Sign in as an admin with no MFA enrolled (the nag)</t>
        </is>
      </c>
      <c r="D14" s="12" t="n"/>
      <c r="E14" s="13" t="n"/>
      <c r="F14" s="13" t="n"/>
      <c r="G14" s="14" t="n"/>
      <c r="H14" s="14" t="n"/>
      <c r="I14" s="13" t="n"/>
      <c r="J14" s="13" t="n"/>
      <c r="K14" s="13" t="n"/>
      <c r="L14" s="13" t="n"/>
      <c r="M14" s="13" t="n"/>
      <c r="N14" s="13" t="n"/>
      <c r="O14" s="14" t="n"/>
    </row>
    <row r="15" ht="15" customHeight="1">
      <c r="A15" s="9" t="inlineStr">
        <is>
          <t>A-12</t>
        </is>
      </c>
      <c r="B15" s="10">
        <f>IFERROR(LEFT(A15,FIND("-",A15)-1),"")</f>
        <v/>
      </c>
      <c r="C15" s="11" t="inlineStr">
        <is>
          <t>Nate: admin MFA reset break-glass</t>
        </is>
      </c>
      <c r="D15" s="12" t="n"/>
      <c r="E15" s="13" t="n"/>
      <c r="F15" s="13" t="n"/>
      <c r="G15" s="14" t="n"/>
      <c r="H15" s="14" t="n"/>
      <c r="I15" s="13" t="n"/>
      <c r="J15" s="13" t="n"/>
      <c r="K15" s="13" t="n"/>
      <c r="L15" s="13" t="n"/>
      <c r="M15" s="13" t="n"/>
      <c r="N15" s="13" t="n"/>
      <c r="O15" s="14" t="n"/>
    </row>
    <row r="16" ht="15" customHeight="1">
      <c r="A16" s="9" t="inlineStr">
        <is>
          <t>A-13</t>
        </is>
      </c>
      <c r="B16" s="10">
        <f>IFERROR(LEFT(A16,FIND("-",A16)-1),"")</f>
        <v/>
      </c>
      <c r="C16" s="11" t="inlineStr">
        <is>
          <t>Visit #/profile (a route that does not exist)</t>
        </is>
      </c>
      <c r="D16" s="12" t="n"/>
      <c r="E16" s="13" t="n"/>
      <c r="F16" s="13" t="n"/>
      <c r="G16" s="14" t="n"/>
      <c r="H16" s="14" t="n"/>
      <c r="I16" s="13" t="n"/>
      <c r="J16" s="13" t="n"/>
      <c r="K16" s="13" t="n"/>
      <c r="L16" s="13" t="n"/>
      <c r="M16" s="13" t="n"/>
      <c r="N16" s="13" t="n"/>
      <c r="O16" s="14" t="n"/>
    </row>
    <row r="17" ht="15" customHeight="1">
      <c r="A17" s="9" t="inlineStr">
        <is>
          <t>A-14</t>
        </is>
      </c>
      <c r="B17" s="10">
        <f>IFERROR(LEFT(A17,FIND("-",A17)-1),"")</f>
        <v/>
      </c>
      <c r="C17" s="11" t="inlineStr">
        <is>
          <t>Signed in on phone + desktop; change name on one</t>
        </is>
      </c>
      <c r="D17" s="12" t="n"/>
      <c r="E17" s="13" t="n"/>
      <c r="F17" s="13" t="n"/>
      <c r="G17" s="14" t="n"/>
      <c r="H17" s="14" t="n"/>
      <c r="I17" s="13" t="n"/>
      <c r="J17" s="13" t="n"/>
      <c r="K17" s="13" t="n"/>
      <c r="L17" s="13" t="n"/>
      <c r="M17" s="13" t="n"/>
      <c r="N17" s="13" t="n"/>
      <c r="O17" s="14" t="n"/>
    </row>
    <row r="18" ht="20" customHeight="1">
      <c r="A18" s="8" t="inlineStr">
        <is>
          <t>M  -  Cart, pricing &amp; Stripe checkout</t>
        </is>
      </c>
    </row>
    <row r="19" ht="15" customHeight="1">
      <c r="A19" s="9" t="inlineStr">
        <is>
          <t>M-01</t>
        </is>
      </c>
      <c r="B19" s="10">
        <f>IFERROR(LEFT(A19,FIND("-",A19)-1),"")</f>
        <v/>
      </c>
      <c r="C19" s="11" t="inlineStr">
        <is>
          <t>Add one registration to cart; write down every number</t>
        </is>
      </c>
      <c r="D19" s="12" t="n"/>
      <c r="E19" s="13" t="n"/>
      <c r="F19" s="13" t="n"/>
      <c r="G19" s="14" t="n"/>
      <c r="H19" s="14" t="n"/>
      <c r="I19" s="13" t="n"/>
      <c r="J19" s="13" t="n"/>
      <c r="K19" s="13" t="n"/>
      <c r="L19" s="13" t="n"/>
      <c r="M19" s="13" t="n"/>
      <c r="N19" s="13" t="n"/>
      <c r="O19" s="14" t="n"/>
    </row>
    <row r="20" ht="15" customHeight="1">
      <c r="A20" s="9" t="inlineStr">
        <is>
          <t>M-02</t>
        </is>
      </c>
      <c r="B20" s="10">
        <f>IFERROR(LEFT(A20,FIND("-",A20)-1),"")</f>
        <v/>
      </c>
      <c r="C20" s="11" t="inlineStr">
        <is>
          <t>Compare the Stripe page's numbers against the cart, to the cent</t>
        </is>
      </c>
      <c r="D20" s="12" t="n"/>
      <c r="E20" s="13" t="n"/>
      <c r="F20" s="13" t="n"/>
      <c r="G20" s="14" t="n"/>
      <c r="H20" s="14" t="n"/>
      <c r="I20" s="13" t="n"/>
      <c r="J20" s="13" t="n"/>
      <c r="K20" s="13" t="n"/>
      <c r="L20" s="13" t="n"/>
      <c r="M20" s="13" t="n"/>
      <c r="N20" s="13" t="n"/>
      <c r="O20" s="14" t="n"/>
    </row>
    <row r="21" ht="15" customHeight="1">
      <c r="A21" s="9" t="inlineStr">
        <is>
          <t>M-03</t>
        </is>
      </c>
      <c r="B21" s="10">
        <f>IFERROR(LEFT(A21,FIND("-",A21)-1),"")</f>
        <v/>
      </c>
      <c r="C21" s="11" t="inlineStr">
        <is>
          <t>Pay with 4242; watch what happens after</t>
        </is>
      </c>
      <c r="D21" s="12" t="n"/>
      <c r="E21" s="13" t="n"/>
      <c r="F21" s="13" t="n"/>
      <c r="G21" s="14" t="n"/>
      <c r="H21" s="14" t="n"/>
      <c r="I21" s="13" t="n"/>
      <c r="J21" s="13" t="n"/>
      <c r="K21" s="13" t="n"/>
      <c r="L21" s="13" t="n"/>
      <c r="M21" s="13" t="n"/>
      <c r="N21" s="13" t="n"/>
      <c r="O21" s="14" t="n"/>
    </row>
    <row r="22" ht="15" customHeight="1">
      <c r="A22" s="9" t="inlineStr">
        <is>
          <t>M-04</t>
        </is>
      </c>
      <c r="B22" s="10">
        <f>IFERROR(LEFT(A22,FIND("-",A22)-1),"")</f>
        <v/>
      </c>
      <c r="C22" s="11" t="inlineStr">
        <is>
          <t>Confirmation email vs the in-app receipt</t>
        </is>
      </c>
      <c r="D22" s="12" t="n"/>
      <c r="E22" s="13" t="n"/>
      <c r="F22" s="13" t="n"/>
      <c r="G22" s="14" t="n"/>
      <c r="H22" s="14" t="n"/>
      <c r="I22" s="13" t="n"/>
      <c r="J22" s="13" t="n"/>
      <c r="K22" s="13" t="n"/>
      <c r="L22" s="13" t="n"/>
      <c r="M22" s="13" t="n"/>
      <c r="N22" s="13" t="n"/>
      <c r="O22" s="14" t="n"/>
    </row>
    <row r="23" ht="15" customHeight="1">
      <c r="A23" s="9" t="inlineStr">
        <is>
          <t>M-05</t>
        </is>
      </c>
      <c r="B23" s="10">
        <f>IFERROR(LEFT(A23,FIND("-",A23)-1),"")</f>
        <v/>
      </c>
      <c r="C23" s="11" t="inlineStr">
        <is>
          <t>Open the receipt PDF and actually print it</t>
        </is>
      </c>
      <c r="D23" s="12" t="n"/>
      <c r="E23" s="13" t="n"/>
      <c r="F23" s="13" t="n"/>
      <c r="G23" s="14" t="n"/>
      <c r="H23" s="14" t="n"/>
      <c r="I23" s="13" t="n"/>
      <c r="J23" s="13" t="n"/>
      <c r="K23" s="13" t="n"/>
      <c r="L23" s="13" t="n"/>
      <c r="M23" s="13" t="n"/>
      <c r="N23" s="13" t="n"/>
      <c r="O23" s="14" t="n"/>
    </row>
    <row r="24" ht="15" customHeight="1">
      <c r="A24" s="9" t="inlineStr">
        <is>
          <t>M-06</t>
        </is>
      </c>
      <c r="B24" s="10">
        <f>IFERROR(LEFT(A24,FIND("-",A24)-1),"")</f>
        <v/>
      </c>
      <c r="C24" s="11" t="inlineStr">
        <is>
          <t>Checkout with the DECLINE card 4000...0002</t>
        </is>
      </c>
      <c r="D24" s="12" t="n"/>
      <c r="E24" s="13" t="n"/>
      <c r="F24" s="13" t="n"/>
      <c r="G24" s="14" t="n"/>
      <c r="H24" s="14" t="n"/>
      <c r="I24" s="13" t="n"/>
      <c r="J24" s="13" t="n"/>
      <c r="K24" s="13" t="n"/>
      <c r="L24" s="13" t="n"/>
      <c r="M24" s="13" t="n"/>
      <c r="N24" s="13" t="n"/>
      <c r="O24" s="14" t="n"/>
    </row>
    <row r="25" ht="15" customHeight="1">
      <c r="A25" s="9" t="inlineStr">
        <is>
          <t>M-07</t>
        </is>
      </c>
      <c r="B25" s="10">
        <f>IFERROR(LEFT(A25,FIND("-",A25)-1),"")</f>
        <v/>
      </c>
      <c r="C25" s="11" t="inlineStr">
        <is>
          <t>Checkout with the 3-D SECURE card 4000 0025 0000 3155</t>
        </is>
      </c>
      <c r="D25" s="12" t="n"/>
      <c r="E25" s="13" t="n"/>
      <c r="F25" s="13" t="n"/>
      <c r="G25" s="14" t="n"/>
      <c r="H25" s="14" t="n"/>
      <c r="I25" s="13" t="n"/>
      <c r="J25" s="13" t="n"/>
      <c r="K25" s="13" t="n"/>
      <c r="L25" s="13" t="n"/>
      <c r="M25" s="13" t="n"/>
      <c r="N25" s="13" t="n"/>
      <c r="O25" s="14" t="n"/>
    </row>
    <row r="26" ht="15" customHeight="1">
      <c r="A26" s="9" t="inlineStr">
        <is>
          <t>M-08</t>
        </is>
      </c>
      <c r="B26" s="10">
        <f>IFERROR(LEFT(A26,FIND("-",A26)-1),"")</f>
        <v/>
      </c>
      <c r="C26" s="11" t="inlineStr">
        <is>
          <t>Start a checkout and abandon it (close the tab mid-payment)</t>
        </is>
      </c>
      <c r="D26" s="12" t="n"/>
      <c r="E26" s="13" t="n"/>
      <c r="F26" s="13" t="n"/>
      <c r="G26" s="14" t="n"/>
      <c r="H26" s="14" t="n"/>
      <c r="I26" s="13" t="n"/>
      <c r="J26" s="13" t="n"/>
      <c r="K26" s="13" t="n"/>
      <c r="L26" s="13" t="n"/>
      <c r="M26" s="13" t="n"/>
      <c r="N26" s="13" t="n"/>
      <c r="O26" s="14" t="n"/>
    </row>
    <row r="27" ht="15" customHeight="1">
      <c r="A27" s="9" t="inlineStr">
        <is>
          <t>M-09</t>
        </is>
      </c>
      <c r="B27" s="10">
        <f>IFERROR(LEFT(A27,FIND("-",A27)-1),"")</f>
        <v/>
      </c>
      <c r="C27" s="11" t="inlineStr">
        <is>
          <t>Browser Back button from inside Stripe checkout</t>
        </is>
      </c>
      <c r="D27" s="12" t="n"/>
      <c r="E27" s="13" t="n"/>
      <c r="F27" s="13" t="n"/>
      <c r="G27" s="14" t="n"/>
      <c r="H27" s="14" t="n"/>
      <c r="I27" s="13" t="n"/>
      <c r="J27" s="13" t="n"/>
      <c r="K27" s="13" t="n"/>
      <c r="L27" s="13" t="n"/>
      <c r="M27" s="13" t="n"/>
      <c r="N27" s="13" t="n"/>
      <c r="O27" s="14" t="n"/>
    </row>
    <row r="28" ht="15" customHeight="1">
      <c r="A28" s="9" t="inlineStr">
        <is>
          <t>M-10</t>
        </is>
      </c>
      <c r="B28" s="10">
        <f>IFERROR(LEFT(A28,FIND("-",A28)-1),"")</f>
        <v/>
      </c>
      <c r="C28" s="11" t="inlineStr">
        <is>
          <t>Cart with registration + add-ons + a change fee together</t>
        </is>
      </c>
      <c r="D28" s="12" t="n"/>
      <c r="E28" s="13" t="n"/>
      <c r="F28" s="13" t="n"/>
      <c r="G28" s="14" t="n"/>
      <c r="H28" s="14" t="n"/>
      <c r="I28" s="13" t="n"/>
      <c r="J28" s="13" t="n"/>
      <c r="K28" s="13" t="n"/>
      <c r="L28" s="13" t="n"/>
      <c r="M28" s="13" t="n"/>
      <c r="N28" s="13" t="n"/>
      <c r="O28" s="14" t="n"/>
    </row>
    <row r="29" ht="15" customHeight="1">
      <c r="A29" s="9" t="inlineStr">
        <is>
          <t>M-11</t>
        </is>
      </c>
      <c r="B29" s="10">
        <f>IFERROR(LEFT(A29,FIND("-",A29)-1),"")</f>
        <v/>
      </c>
      <c r="C29" s="11" t="inlineStr">
        <is>
          <t>Apply a promo/coupon code (visible in cart AND in Stripe)</t>
        </is>
      </c>
      <c r="D29" s="12" t="n"/>
      <c r="E29" s="13" t="n"/>
      <c r="F29" s="13" t="n"/>
      <c r="G29" s="14" t="n"/>
      <c r="H29" s="14" t="n"/>
      <c r="I29" s="13" t="n"/>
      <c r="J29" s="13" t="n"/>
      <c r="K29" s="13" t="n"/>
      <c r="L29" s="13" t="n"/>
      <c r="M29" s="13" t="n"/>
      <c r="N29" s="13" t="n"/>
      <c r="O29" s="14" t="n"/>
    </row>
    <row r="30" ht="15" customHeight="1">
      <c r="A30" s="9" t="inlineStr">
        <is>
          <t>M-12</t>
        </is>
      </c>
      <c r="B30" s="10">
        <f>IFERROR(LEFT(A30,FIND("-",A30)-1),"")</f>
        <v/>
      </c>
      <c r="C30" s="11" t="inlineStr">
        <is>
          <t>Coupon that covers 100% of the total</t>
        </is>
      </c>
      <c r="D30" s="12" t="n"/>
      <c r="E30" s="13" t="n"/>
      <c r="F30" s="13" t="n"/>
      <c r="G30" s="14" t="n"/>
      <c r="H30" s="14" t="n"/>
      <c r="I30" s="13" t="n"/>
      <c r="J30" s="13" t="n"/>
      <c r="K30" s="13" t="n"/>
      <c r="L30" s="13" t="n"/>
      <c r="M30" s="13" t="n"/>
      <c r="N30" s="13" t="n"/>
      <c r="O30" s="14" t="n"/>
    </row>
    <row r="31" ht="15" customHeight="1">
      <c r="A31" s="9" t="inlineStr">
        <is>
          <t>M-13</t>
        </is>
      </c>
      <c r="B31" s="10">
        <f>IFERROR(LEFT(A31,FIND("-",A31)-1),"")</f>
        <v/>
      </c>
      <c r="C31" s="11" t="inlineStr">
        <is>
          <t>Invalid coupon, then an expired coupon</t>
        </is>
      </c>
      <c r="D31" s="12" t="n"/>
      <c r="E31" s="13" t="n"/>
      <c r="F31" s="13" t="n"/>
      <c r="G31" s="14" t="n"/>
      <c r="H31" s="14" t="n"/>
      <c r="I31" s="13" t="n"/>
      <c r="J31" s="13" t="n"/>
      <c r="K31" s="13" t="n"/>
      <c r="L31" s="13" t="n"/>
      <c r="M31" s="13" t="n"/>
      <c r="N31" s="13" t="n"/>
      <c r="O31" s="14" t="n"/>
    </row>
    <row r="32" ht="15" customHeight="1">
      <c r="A32" s="9" t="inlineStr">
        <is>
          <t>M-14</t>
        </is>
      </c>
      <c r="B32" s="10">
        <f>IFERROR(LEFT(A32,FIND("-",A32)-1),"")</f>
        <v/>
      </c>
      <c r="C32" s="11" t="inlineStr">
        <is>
          <t>Remove a cart line for a NEW registration</t>
        </is>
      </c>
      <c r="D32" s="12" t="n"/>
      <c r="E32" s="13" t="n"/>
      <c r="F32" s="13" t="n"/>
      <c r="G32" s="14" t="n"/>
      <c r="H32" s="14" t="n"/>
      <c r="I32" s="13" t="n"/>
      <c r="J32" s="13" t="n"/>
      <c r="K32" s="13" t="n"/>
      <c r="L32" s="13" t="n"/>
      <c r="M32" s="13" t="n"/>
      <c r="N32" s="13" t="n"/>
      <c r="O32" s="14" t="n"/>
    </row>
    <row r="33" ht="15" customHeight="1">
      <c r="A33" s="9" t="inlineStr">
        <is>
          <t>M-15</t>
        </is>
      </c>
      <c r="B33" s="10">
        <f>IFERROR(LEFT(A33,FIND("-",A33)-1),"")</f>
        <v/>
      </c>
      <c r="C33" s="11" t="inlineStr">
        <is>
          <t>Remove a cart line for a CHANGE FEE (does it roll back?)</t>
        </is>
      </c>
      <c r="D33" s="12" t="n"/>
      <c r="E33" s="13" t="n"/>
      <c r="F33" s="13" t="n"/>
      <c r="G33" s="14" t="n"/>
      <c r="H33" s="14" t="n"/>
      <c r="I33" s="13" t="n"/>
      <c r="J33" s="13" t="n"/>
      <c r="K33" s="13" t="n"/>
      <c r="L33" s="13" t="n"/>
      <c r="M33" s="13" t="n"/>
      <c r="N33" s="13" t="n"/>
      <c r="O33" s="14" t="n"/>
    </row>
    <row r="34" ht="15" customHeight="1">
      <c r="A34" s="9" t="inlineStr">
        <is>
          <t>M-16</t>
        </is>
      </c>
      <c r="B34" s="10">
        <f>IFERROR(LEFT(A34,FIND("-",A34)-1),"")</f>
        <v/>
      </c>
      <c r="C34" s="11" t="inlineStr">
        <is>
          <t>Club cart: Print Invoice BEFORE paying</t>
        </is>
      </c>
      <c r="D34" s="12" t="n"/>
      <c r="E34" s="13" t="n"/>
      <c r="F34" s="13" t="n"/>
      <c r="G34" s="14" t="n"/>
      <c r="H34" s="14" t="n"/>
      <c r="I34" s="13" t="n"/>
      <c r="J34" s="13" t="n"/>
      <c r="K34" s="13" t="n"/>
      <c r="L34" s="13" t="n"/>
      <c r="M34" s="13" t="n"/>
      <c r="N34" s="13" t="n"/>
      <c r="O34" s="14" t="n"/>
    </row>
    <row r="35" ht="15" customHeight="1">
      <c r="A35" s="9" t="inlineStr">
        <is>
          <t>M-17</t>
        </is>
      </c>
      <c r="B35" s="10">
        <f>IFERROR(LEFT(A35,FIND("-",A35)-1),"")</f>
        <v/>
      </c>
      <c r="C35" s="11" t="inlineStr">
        <is>
          <t>Service fee across several totals vs Stripe's actual fee</t>
        </is>
      </c>
      <c r="D35" s="12" t="n"/>
      <c r="E35" s="13" t="n"/>
      <c r="F35" s="13" t="n"/>
      <c r="G35" s="14" t="n"/>
      <c r="H35" s="14" t="n"/>
      <c r="I35" s="13" t="n"/>
      <c r="J35" s="13" t="n"/>
      <c r="K35" s="13" t="n"/>
      <c r="L35" s="13" t="n"/>
      <c r="M35" s="13" t="n"/>
      <c r="N35" s="13" t="n"/>
      <c r="O35" s="14" t="n"/>
    </row>
    <row r="36" ht="15" customHeight="1">
      <c r="A36" s="9" t="inlineStr">
        <is>
          <t>M-18</t>
        </is>
      </c>
      <c r="B36" s="10">
        <f>IFERROR(LEFT(A36,FIND("-",A36)-1),"")</f>
        <v/>
      </c>
      <c r="C36" s="11" t="inlineStr">
        <is>
          <t>Personal cart and a club cart populated at once</t>
        </is>
      </c>
      <c r="D36" s="12" t="n"/>
      <c r="E36" s="13" t="n"/>
      <c r="F36" s="13" t="n"/>
      <c r="G36" s="14" t="n"/>
      <c r="H36" s="14" t="n"/>
      <c r="I36" s="13" t="n"/>
      <c r="J36" s="13" t="n"/>
      <c r="K36" s="13" t="n"/>
      <c r="L36" s="13" t="n"/>
      <c r="M36" s="13" t="n"/>
      <c r="N36" s="13" t="n"/>
      <c r="O36" s="14" t="n"/>
    </row>
    <row r="37" ht="15" customHeight="1">
      <c r="A37" s="9" t="inlineStr">
        <is>
          <t>M-19</t>
        </is>
      </c>
      <c r="B37" s="10">
        <f>IFERROR(LEFT(A37,FIND("-",A37)-1),"")</f>
        <v/>
      </c>
      <c r="C37" s="11" t="inlineStr">
        <is>
          <t>#/me/purchases: dates in local timezone, receipts download</t>
        </is>
      </c>
      <c r="D37" s="12" t="n"/>
      <c r="E37" s="13" t="n"/>
      <c r="F37" s="13" t="n"/>
      <c r="G37" s="14" t="n"/>
      <c r="H37" s="14" t="n"/>
      <c r="I37" s="13" t="n"/>
      <c r="J37" s="13" t="n"/>
      <c r="K37" s="13" t="n"/>
      <c r="L37" s="13" t="n"/>
      <c r="M37" s="13" t="n"/>
      <c r="N37" s="13" t="n"/>
      <c r="O37" s="14" t="n"/>
    </row>
    <row r="38" ht="15" customHeight="1">
      <c r="A38" s="9" t="inlineStr">
        <is>
          <t>M-20</t>
        </is>
      </c>
      <c r="B38" s="10">
        <f>IFERROR(LEFT(A38,FIND("-",A38)-1),"")</f>
        <v/>
      </c>
      <c r="C38" s="11" t="inlineStr">
        <is>
          <t>#/me/purchases vs the Stripe Dashboard test payments</t>
        </is>
      </c>
      <c r="D38" s="12" t="n"/>
      <c r="E38" s="13" t="n"/>
      <c r="F38" s="13" t="n"/>
      <c r="G38" s="14" t="n"/>
      <c r="H38" s="14" t="n"/>
      <c r="I38" s="13" t="n"/>
      <c r="J38" s="13" t="n"/>
      <c r="K38" s="13" t="n"/>
      <c r="L38" s="13" t="n"/>
      <c r="M38" s="13" t="n"/>
      <c r="N38" s="13" t="n"/>
      <c r="O38" s="14" t="n"/>
    </row>
    <row r="39" ht="20" customHeight="1">
      <c r="A39" s="8" t="inlineStr">
        <is>
          <t>Z  -  Two-person concurrency (JOINT)</t>
        </is>
      </c>
    </row>
    <row r="40" ht="15" customHeight="1">
      <c r="A40" s="9" t="inlineStr">
        <is>
          <t>Z-01</t>
        </is>
      </c>
      <c r="B40" s="10">
        <f>IFERROR(LEFT(A40,FIND("-",A40)-1),"")</f>
        <v/>
      </c>
      <c r="C40" s="11" t="inlineStr">
        <is>
          <t>SIMULTANEOUS CHECKOUT x3 - record BOTH invoice numbers verbatim</t>
        </is>
      </c>
      <c r="D40" s="12" t="n"/>
      <c r="E40" s="13" t="n"/>
      <c r="F40" s="13" t="n"/>
      <c r="G40" s="14" t="n"/>
      <c r="H40" s="14" t="n"/>
      <c r="I40" s="13" t="n"/>
      <c r="J40" s="13" t="n"/>
      <c r="K40" s="13" t="n"/>
      <c r="L40" s="13" t="n"/>
      <c r="M40" s="13" t="n"/>
      <c r="N40" s="13" t="n"/>
      <c r="O40" s="14" t="n"/>
    </row>
    <row r="41" ht="15" customHeight="1">
      <c r="A41" s="9" t="inlineStr">
        <is>
          <t>Z-02</t>
        </is>
      </c>
      <c r="B41" s="10">
        <f>IFERROR(LEFT(A41,FIND("-",A41)-1),"")</f>
        <v/>
      </c>
      <c r="C41" s="11" t="inlineStr">
        <is>
          <t>Both register the SAME athlete for the SAME event at once</t>
        </is>
      </c>
      <c r="D41" s="12" t="n"/>
      <c r="E41" s="13" t="n"/>
      <c r="F41" s="13" t="n"/>
      <c r="G41" s="14" t="n"/>
      <c r="H41" s="14" t="n"/>
      <c r="I41" s="13" t="n"/>
      <c r="J41" s="13" t="n"/>
      <c r="K41" s="13" t="n"/>
      <c r="L41" s="13" t="n"/>
      <c r="M41" s="13" t="n"/>
      <c r="N41" s="13" t="n"/>
      <c r="O41" s="14" t="n"/>
    </row>
    <row r="42" ht="15" customHeight="1">
      <c r="A42" s="9" t="inlineStr">
        <is>
          <t>Z-03</t>
        </is>
      </c>
      <c r="B42" s="10">
        <f>IFERROR(LEFT(A42,FIND("-",A42)-1),"")</f>
        <v/>
      </c>
      <c r="C42" s="11" t="inlineStr">
        <is>
          <t>Both fill the last capacity slots at once</t>
        </is>
      </c>
      <c r="D42" s="12" t="n"/>
      <c r="E42" s="13" t="n"/>
      <c r="F42" s="13" t="n"/>
      <c r="G42" s="14" t="n"/>
      <c r="H42" s="14" t="n"/>
      <c r="I42" s="13" t="n"/>
      <c r="J42" s="13" t="n"/>
      <c r="K42" s="13" t="n"/>
      <c r="L42" s="13" t="n"/>
      <c r="M42" s="13" t="n"/>
      <c r="N42" s="13" t="n"/>
      <c r="O42" s="14" t="n"/>
    </row>
    <row r="43" ht="15" customHeight="1">
      <c r="A43" s="9" t="inlineStr">
        <is>
          <t>Z-04</t>
        </is>
      </c>
      <c r="B43" s="10">
        <f>IFERROR(LEFT(A43,FIND("-",A43)-1),"")</f>
        <v/>
      </c>
      <c r="C43" s="11" t="inlineStr">
        <is>
          <t>Both approve the SAME refund request at once</t>
        </is>
      </c>
      <c r="D43" s="12" t="n"/>
      <c r="E43" s="13" t="n"/>
      <c r="F43" s="13" t="n"/>
      <c r="G43" s="14" t="n"/>
      <c r="H43" s="14" t="n"/>
      <c r="I43" s="13" t="n"/>
      <c r="J43" s="13" t="n"/>
      <c r="K43" s="13" t="n"/>
      <c r="L43" s="13" t="n"/>
      <c r="M43" s="13" t="n"/>
      <c r="N43" s="13" t="n"/>
      <c r="O43" s="14" t="n"/>
    </row>
    <row r="44" ht="15" customHeight="1">
      <c r="A44" s="9" t="inlineStr">
        <is>
          <t>Z-05</t>
        </is>
      </c>
      <c r="B44" s="10">
        <f>IFERROR(LEFT(A44,FIND("-",A44)-1),"")</f>
        <v/>
      </c>
      <c r="C44" s="11" t="inlineStr">
        <is>
          <t>Both save different changes to the same event settings</t>
        </is>
      </c>
      <c r="D44" s="12" t="n"/>
      <c r="E44" s="13" t="n"/>
      <c r="F44" s="13" t="n"/>
      <c r="G44" s="14" t="n"/>
      <c r="H44" s="14" t="n"/>
      <c r="I44" s="13" t="n"/>
      <c r="J44" s="13" t="n"/>
      <c r="K44" s="13" t="n"/>
      <c r="L44" s="13" t="n"/>
      <c r="M44" s="13" t="n"/>
      <c r="N44" s="13" t="n"/>
      <c r="O44" s="14" t="n"/>
    </row>
    <row r="45" ht="15" customHeight="1">
      <c r="A45" s="9" t="inlineStr">
        <is>
          <t>Z-06</t>
        </is>
      </c>
      <c r="B45" s="10">
        <f>IFERROR(LEFT(A45,FIND("-",A45)-1),"")</f>
        <v/>
      </c>
      <c r="C45" s="11" t="inlineStr">
        <is>
          <t>Both enter a different score for the same athlete/apparatus</t>
        </is>
      </c>
      <c r="D45" s="12" t="n"/>
      <c r="E45" s="13" t="n"/>
      <c r="F45" s="13" t="n"/>
      <c r="G45" s="14" t="n"/>
      <c r="H45" s="14" t="n"/>
      <c r="I45" s="13" t="n"/>
      <c r="J45" s="13" t="n"/>
      <c r="K45" s="13" t="n"/>
      <c r="L45" s="13" t="n"/>
      <c r="M45" s="13" t="n"/>
      <c r="N45" s="13" t="n"/>
      <c r="O45" s="14" t="n"/>
    </row>
    <row r="46" ht="20" customHeight="1">
      <c r="A46" s="8" t="inlineStr">
        <is>
          <t>E  -  Email &amp; SMS deliverability</t>
        </is>
      </c>
    </row>
    <row r="47" ht="15" customHeight="1">
      <c r="A47" s="9" t="inlineStr">
        <is>
          <t>E-01</t>
        </is>
      </c>
      <c r="B47" s="10">
        <f>IFERROR(LEFT(A47,FIND("-",A47)-1),"")</f>
        <v/>
      </c>
      <c r="C47" s="11" t="inlineStr">
        <is>
          <t>Trigger all 13 transactional emails; check arrival/spam/from/reply-to/phone</t>
        </is>
      </c>
      <c r="D47" s="12" t="n"/>
      <c r="E47" s="13" t="n"/>
      <c r="F47" s="13" t="n"/>
      <c r="G47" s="14" t="n"/>
      <c r="H47" s="14" t="n"/>
      <c r="I47" s="13" t="n"/>
      <c r="J47" s="13" t="n"/>
      <c r="K47" s="13" t="n"/>
      <c r="L47" s="13" t="n"/>
      <c r="M47" s="13" t="n"/>
      <c r="N47" s="13" t="n"/>
      <c r="O47" s="14" t="n"/>
    </row>
    <row r="48" ht="15" customHeight="1">
      <c r="A48" s="9" t="inlineStr">
        <is>
          <t>E-02</t>
        </is>
      </c>
      <c r="B48" s="10">
        <f>IFERROR(LEFT(A48,FIND("-",A48)-1),"")</f>
        <v/>
      </c>
      <c r="C48" s="11" t="inlineStr">
        <is>
          <t>Per-event custom confirmation email body</t>
        </is>
      </c>
      <c r="D48" s="12" t="n"/>
      <c r="E48" s="13" t="n"/>
      <c r="F48" s="13" t="n"/>
      <c r="G48" s="14" t="n"/>
      <c r="H48" s="14" t="n"/>
      <c r="I48" s="13" t="n"/>
      <c r="J48" s="13" t="n"/>
      <c r="K48" s="13" t="n"/>
      <c r="L48" s="13" t="n"/>
      <c r="M48" s="13" t="n"/>
      <c r="N48" s="13" t="n"/>
      <c r="O48" s="14" t="n"/>
    </row>
    <row r="49" ht="15" customHeight="1">
      <c r="A49" s="9" t="inlineStr">
        <is>
          <t>E-03</t>
        </is>
      </c>
      <c r="B49" s="10">
        <f>IFERROR(LEFT(A49,FIND("-",A49)-1),"")</f>
        <v/>
      </c>
      <c r="C49" s="11" t="inlineStr">
        <is>
          <t>Event from-alias + reply-to (hit Reply and see where it goes)</t>
        </is>
      </c>
      <c r="D49" s="12" t="n"/>
      <c r="E49" s="13" t="n"/>
      <c r="F49" s="13" t="n"/>
      <c r="G49" s="14" t="n"/>
      <c r="H49" s="14" t="n"/>
      <c r="I49" s="13" t="n"/>
      <c r="J49" s="13" t="n"/>
      <c r="K49" s="13" t="n"/>
      <c r="L49" s="13" t="n"/>
      <c r="M49" s="13" t="n"/>
      <c r="N49" s="13" t="n"/>
      <c r="O49" s="14" t="n"/>
    </row>
    <row r="50" ht="15" customHeight="1">
      <c r="A50" s="9" t="inlineStr">
        <is>
          <t>E-04</t>
        </is>
      </c>
      <c r="B50" s="10">
        <f>IFERROR(LEFT(A50,FIND("-",A50)-1),"")</f>
        <v/>
      </c>
      <c r="C50" s="11" t="inlineStr">
        <is>
          <t>CC the director on a confirmation</t>
        </is>
      </c>
      <c r="D50" s="12" t="n"/>
      <c r="E50" s="13" t="n"/>
      <c r="F50" s="13" t="n"/>
      <c r="G50" s="14" t="n"/>
      <c r="H50" s="14" t="n"/>
      <c r="I50" s="13" t="n"/>
      <c r="J50" s="13" t="n"/>
      <c r="K50" s="13" t="n"/>
      <c r="L50" s="13" t="n"/>
      <c r="M50" s="13" t="n"/>
      <c r="N50" s="13" t="n"/>
      <c r="O50" s="14" t="n"/>
    </row>
    <row r="51" ht="15" customHeight="1">
      <c r="A51" s="9" t="inlineStr">
        <is>
          <t>E-05</t>
        </is>
      </c>
      <c r="B51" s="10">
        <f>IFERROR(LEFT(A51,FIND("-",A51)-1),"")</f>
        <v/>
      </c>
      <c r="C51" s="11" t="inlineStr">
        <is>
          <t>Admin Communicate: email a filtered group</t>
        </is>
      </c>
      <c r="D51" s="12" t="n"/>
      <c r="E51" s="13" t="n"/>
      <c r="F51" s="13" t="n"/>
      <c r="G51" s="14" t="n"/>
      <c r="H51" s="14" t="n"/>
      <c r="I51" s="13" t="n"/>
      <c r="J51" s="13" t="n"/>
      <c r="K51" s="13" t="n"/>
      <c r="L51" s="13" t="n"/>
      <c r="M51" s="13" t="n"/>
      <c r="N51" s="13" t="n"/>
      <c r="O51" s="14" t="n"/>
    </row>
    <row r="52" ht="15" customHeight="1">
      <c r="A52" s="9" t="inlineStr">
        <is>
          <t>E-06</t>
        </is>
      </c>
      <c r="B52" s="10">
        <f>IFERROR(LEFT(A52,FIND("-",A52)-1),"")</f>
        <v/>
      </c>
      <c r="C52" s="11" t="inlineStr">
        <is>
          <t>Admin Communicate: test send</t>
        </is>
      </c>
      <c r="D52" s="12" t="n"/>
      <c r="E52" s="13" t="n"/>
      <c r="F52" s="13" t="n"/>
      <c r="G52" s="14" t="n"/>
      <c r="H52" s="14" t="n"/>
      <c r="I52" s="13" t="n"/>
      <c r="J52" s="13" t="n"/>
      <c r="K52" s="13" t="n"/>
      <c r="L52" s="13" t="n"/>
      <c r="M52" s="13" t="n"/>
      <c r="N52" s="13" t="n"/>
      <c r="O52" s="14" t="n"/>
    </row>
    <row r="53" ht="15" customHeight="1">
      <c r="A53" s="9" t="inlineStr">
        <is>
          <t>E-07</t>
        </is>
      </c>
      <c r="B53" s="10">
        <f>IFERROR(LEFT(A53,FIND("-",A53)-1),"")</f>
        <v/>
      </c>
      <c r="C53" s="11" t="inlineStr">
        <is>
          <t>Event Communicate as a HOST (email yes, SMS admin-only by design)</t>
        </is>
      </c>
      <c r="D53" s="12" t="n"/>
      <c r="E53" s="13" t="n"/>
      <c r="F53" s="13" t="n"/>
      <c r="G53" s="14" t="n"/>
      <c r="H53" s="14" t="n"/>
      <c r="I53" s="13" t="n"/>
      <c r="J53" s="13" t="n"/>
      <c r="K53" s="13" t="n"/>
      <c r="L53" s="13" t="n"/>
      <c r="M53" s="13" t="n"/>
      <c r="N53" s="13" t="n"/>
      <c r="O53" s="14" t="n"/>
    </row>
    <row r="54" ht="15" customHeight="1">
      <c r="A54" s="9" t="inlineStr">
        <is>
          <t>E-08</t>
        </is>
      </c>
      <c r="B54" s="10">
        <f>IFERROR(LEFT(A54,FIND("-",A54)-1),"")</f>
        <v/>
      </c>
      <c r="C54" s="11" t="inlineStr">
        <is>
          <t>Event Communicate: filter by session / level / discipline</t>
        </is>
      </c>
      <c r="D54" s="12" t="n"/>
      <c r="E54" s="13" t="n"/>
      <c r="F54" s="13" t="n"/>
      <c r="G54" s="14" t="n"/>
      <c r="H54" s="14" t="n"/>
      <c r="I54" s="13" t="n"/>
      <c r="J54" s="13" t="n"/>
      <c r="K54" s="13" t="n"/>
      <c r="L54" s="13" t="n"/>
      <c r="M54" s="13" t="n"/>
      <c r="N54" s="13" t="n"/>
      <c r="O54" s="14" t="n"/>
    </row>
    <row r="55" ht="15" customHeight="1">
      <c r="A55" s="9" t="inlineStr">
        <is>
          <t>E-09</t>
        </is>
      </c>
      <c r="B55" s="10">
        <f>IFERROR(LEFT(A55,FIND("-",A55)-1),"")</f>
        <v/>
      </c>
      <c r="C55" s="11" t="inlineStr">
        <is>
          <t>Send an SMS to yourself; reply to it</t>
        </is>
      </c>
      <c r="D55" s="12" t="n"/>
      <c r="E55" s="13" t="n"/>
      <c r="F55" s="13" t="n"/>
      <c r="G55" s="14" t="n"/>
      <c r="H55" s="14" t="n"/>
      <c r="I55" s="13" t="n"/>
      <c r="J55" s="13" t="n"/>
      <c r="K55" s="13" t="n"/>
      <c r="L55" s="13" t="n"/>
      <c r="M55" s="13" t="n"/>
      <c r="N55" s="13" t="n"/>
      <c r="O55" s="14" t="n"/>
    </row>
    <row r="56" ht="15" customHeight="1">
      <c r="A56" s="9" t="inlineStr">
        <is>
          <t>E-10</t>
        </is>
      </c>
      <c r="B56" s="10">
        <f>IFERROR(LEFT(A56,FIND("-",A56)-1),"")</f>
        <v/>
      </c>
      <c r="C56" s="11" t="inlineStr">
        <is>
          <t>Reply STOP, then try to send again</t>
        </is>
      </c>
      <c r="D56" s="12" t="n"/>
      <c r="E56" s="13" t="n"/>
      <c r="F56" s="13" t="n"/>
      <c r="G56" s="14" t="n"/>
      <c r="H56" s="14" t="n"/>
      <c r="I56" s="13" t="n"/>
      <c r="J56" s="13" t="n"/>
      <c r="K56" s="13" t="n"/>
      <c r="L56" s="13" t="n"/>
      <c r="M56" s="13" t="n"/>
      <c r="N56" s="13" t="n"/>
      <c r="O56" s="14" t="n"/>
    </row>
    <row r="57" ht="15" customHeight="1">
      <c r="A57" s="9" t="inlineStr">
        <is>
          <t>E-11</t>
        </is>
      </c>
      <c r="B57" s="10">
        <f>IFERROR(LEFT(A57,FIND("-",A57)-1),"")</f>
        <v/>
      </c>
      <c r="C57" s="11" t="inlineStr">
        <is>
          <t>Sent log after the email and SMS sends</t>
        </is>
      </c>
      <c r="D57" s="12" t="n"/>
      <c r="E57" s="13" t="n"/>
      <c r="F57" s="13" t="n"/>
      <c r="G57" s="14" t="n"/>
      <c r="H57" s="14" t="n"/>
      <c r="I57" s="13" t="n"/>
      <c r="J57" s="13" t="n"/>
      <c r="K57" s="13" t="n"/>
      <c r="L57" s="13" t="n"/>
      <c r="M57" s="13" t="n"/>
      <c r="N57" s="13" t="n"/>
      <c r="O57" s="14" t="n"/>
    </row>
    <row r="58" ht="15" customHeight="1">
      <c r="A58" s="9" t="inlineStr">
        <is>
          <t>E-12</t>
        </is>
      </c>
      <c r="B58" s="10">
        <f>IFERROR(LEFT(A58,FIND("-",A58)-1),"")</f>
        <v/>
      </c>
      <c r="C58" s="11" t="inlineStr">
        <is>
          <t>Open the 3 most important emails on a PHONE</t>
        </is>
      </c>
      <c r="D58" s="12" t="n"/>
      <c r="E58" s="13" t="n"/>
      <c r="F58" s="13" t="n"/>
      <c r="G58" s="14" t="n"/>
      <c r="H58" s="14" t="n"/>
      <c r="I58" s="13" t="n"/>
      <c r="J58" s="13" t="n"/>
      <c r="K58" s="13" t="n"/>
      <c r="L58" s="13" t="n"/>
      <c r="M58" s="13" t="n"/>
      <c r="N58" s="13" t="n"/>
      <c r="O58" s="14" t="n"/>
    </row>
    <row r="59" ht="15" customHeight="1">
      <c r="A59" s="9" t="inlineStr">
        <is>
          <t>E-13</t>
        </is>
      </c>
      <c r="B59" s="10">
        <f>IFERROR(LEFT(A59,FIND("-",A59)-1),"")</f>
        <v/>
      </c>
      <c r="C59" s="11" t="inlineStr">
        <is>
          <t>Did anything land in spam or Promotions?</t>
        </is>
      </c>
      <c r="D59" s="12" t="n"/>
      <c r="E59" s="13" t="n"/>
      <c r="F59" s="13" t="n"/>
      <c r="G59" s="14" t="n"/>
      <c r="H59" s="14" t="n"/>
      <c r="I59" s="13" t="n"/>
      <c r="J59" s="13" t="n"/>
      <c r="K59" s="13" t="n"/>
      <c r="L59" s="13" t="n"/>
      <c r="M59" s="13" t="n"/>
      <c r="N59" s="13" t="n"/>
      <c r="O59" s="14" t="n"/>
    </row>
    <row r="60" ht="20" customHeight="1">
      <c r="A60" s="8" t="inlineStr">
        <is>
          <t>G  -  Athlete self-service registration</t>
        </is>
      </c>
    </row>
    <row r="61" ht="15" customHeight="1">
      <c r="A61" s="9" t="inlineStr">
        <is>
          <t>G-01</t>
        </is>
      </c>
      <c r="B61" s="10">
        <f>IFERROR(LEFT(A61,FIND("-",A61)-1),"")</f>
        <v/>
      </c>
      <c r="C61" s="11" t="inlineStr">
        <is>
          <t>Non-member tries to register (season-targeted membership link?)</t>
        </is>
      </c>
      <c r="D61" s="12" t="n"/>
      <c r="E61" s="13" t="n"/>
      <c r="F61" s="13" t="n"/>
      <c r="G61" s="14" t="n"/>
      <c r="H61" s="14" t="n"/>
      <c r="I61" s="13" t="n"/>
      <c r="J61" s="13" t="n"/>
      <c r="K61" s="13" t="n"/>
      <c r="L61" s="13" t="n"/>
      <c r="M61" s="13" t="n"/>
      <c r="N61" s="13" t="n"/>
      <c r="O61" s="14" t="n"/>
    </row>
    <row r="62" ht="15" customHeight="1">
      <c r="A62" s="9" t="inlineStr">
        <is>
          <t>G-02</t>
        </is>
      </c>
      <c r="B62" s="10">
        <f>IFERROR(LEFT(A62,FIND("-",A62)-1),"")</f>
        <v/>
      </c>
      <c r="C62" s="11" t="inlineStr">
        <is>
          <t>Buy the membership through that link, return, register</t>
        </is>
      </c>
      <c r="D62" s="12" t="n"/>
      <c r="E62" s="13" t="n"/>
      <c r="F62" s="13" t="n"/>
      <c r="G62" s="14" t="n"/>
      <c r="H62" s="14" t="n"/>
      <c r="I62" s="13" t="n"/>
      <c r="J62" s="13" t="n"/>
      <c r="K62" s="13" t="n"/>
      <c r="L62" s="13" t="n"/>
      <c r="M62" s="13" t="n"/>
      <c r="N62" s="13" t="n"/>
      <c r="O62" s="14" t="n"/>
    </row>
    <row r="63" ht="15" customHeight="1">
      <c r="A63" s="9" t="inlineStr">
        <is>
          <t>G-03</t>
        </is>
      </c>
      <c r="B63" s="10">
        <f>IFERROR(LEFT(A63,FIND("-",A63)-1),"")</f>
        <v/>
      </c>
      <c r="C63" s="11" t="inlineStr">
        <is>
          <t>Register while signed out (does it return you to the event?)</t>
        </is>
      </c>
      <c r="D63" s="12" t="n"/>
      <c r="E63" s="13" t="n"/>
      <c r="F63" s="13" t="n"/>
      <c r="G63" s="14" t="n"/>
      <c r="H63" s="14" t="n"/>
      <c r="I63" s="13" t="n"/>
      <c r="J63" s="13" t="n"/>
      <c r="K63" s="13" t="n"/>
      <c r="L63" s="13" t="n"/>
      <c r="M63" s="13" t="n"/>
      <c r="N63" s="13" t="n"/>
      <c r="O63" s="14" t="n"/>
    </row>
    <row r="64" ht="15" customHeight="1">
      <c r="A64" s="9" t="inlineStr">
        <is>
          <t>G-04</t>
        </is>
      </c>
      <c r="B64" s="10">
        <f>IFERROR(LEFT(A64,FIND("-",A64)-1),"")</f>
        <v/>
      </c>
      <c r="C64" s="11" t="inlineStr">
        <is>
          <t>Registration popup: disciplines, level, apparatus, all-around</t>
        </is>
      </c>
      <c r="D64" s="12" t="n"/>
      <c r="E64" s="13" t="n"/>
      <c r="F64" s="13" t="n"/>
      <c r="G64" s="14" t="n"/>
      <c r="H64" s="14" t="n"/>
      <c r="I64" s="13" t="n"/>
      <c r="J64" s="13" t="n"/>
      <c r="K64" s="13" t="n"/>
      <c r="L64" s="13" t="n"/>
      <c r="M64" s="13" t="n"/>
      <c r="N64" s="13" t="n"/>
      <c r="O64" s="14" t="n"/>
    </row>
    <row r="65" ht="15" customHeight="1">
      <c r="A65" s="9" t="inlineStr">
        <is>
          <t>G-05</t>
        </is>
      </c>
      <c r="B65" s="10">
        <f>IFERROR(LEFT(A65,FIND("-",A65)-1),"")</f>
        <v/>
      </c>
      <c r="C65" s="11" t="inlineStr">
        <is>
          <t>T&amp;T: multiple disciplines with per-apparatus levels</t>
        </is>
      </c>
      <c r="D65" s="12" t="n"/>
      <c r="E65" s="13" t="n"/>
      <c r="F65" s="13" t="n"/>
      <c r="G65" s="14" t="n"/>
      <c r="H65" s="14" t="n"/>
      <c r="I65" s="13" t="n"/>
      <c r="J65" s="13" t="n"/>
      <c r="K65" s="13" t="n"/>
      <c r="L65" s="13" t="n"/>
      <c r="M65" s="13" t="n"/>
      <c r="N65" s="13" t="n"/>
      <c r="O65" s="14" t="n"/>
    </row>
    <row r="66" ht="15" customHeight="1">
      <c r="A66" s="9" t="inlineStr">
        <is>
          <t>G-06</t>
        </is>
      </c>
      <c r="B66" s="10">
        <f>IFERROR(LEFT(A66,FIND("-",A66)-1),"")</f>
        <v/>
      </c>
      <c r="C66" s="11" t="inlineStr">
        <is>
          <t>T&amp;T: try to remove your LAST remaining discipline</t>
        </is>
      </c>
      <c r="D66" s="12" t="n"/>
      <c r="E66" s="13" t="n"/>
      <c r="F66" s="13" t="n"/>
      <c r="G66" s="14" t="n"/>
      <c r="H66" s="14" t="n"/>
      <c r="I66" s="13" t="n"/>
      <c r="J66" s="13" t="n"/>
      <c r="K66" s="13" t="n"/>
      <c r="L66" s="13" t="n"/>
      <c r="M66" s="13" t="n"/>
      <c r="N66" s="13" t="n"/>
      <c r="O66" s="14" t="n"/>
    </row>
    <row r="67" ht="15" customHeight="1">
      <c r="A67" s="9" t="inlineStr">
        <is>
          <t>G-07</t>
        </is>
      </c>
      <c r="B67" s="10">
        <f>IFERROR(LEFT(A67,FIND("-",A67)-1),"")</f>
        <v/>
      </c>
      <c r="C67" s="11" t="inlineStr">
        <is>
          <t>Synchro: pick a partner from the member list</t>
        </is>
      </c>
      <c r="D67" s="12" t="n"/>
      <c r="E67" s="13" t="n"/>
      <c r="F67" s="13" t="n"/>
      <c r="G67" s="14" t="n"/>
      <c r="H67" s="14" t="n"/>
      <c r="I67" s="13" t="n"/>
      <c r="J67" s="13" t="n"/>
      <c r="K67" s="13" t="n"/>
      <c r="L67" s="13" t="n"/>
      <c r="M67" s="13" t="n"/>
      <c r="N67" s="13" t="n"/>
      <c r="O67" s="14" t="n"/>
    </row>
    <row r="68" ht="15" customHeight="1">
      <c r="A68" s="9" t="inlineStr">
        <is>
          <t>G-08</t>
        </is>
      </c>
      <c r="B68" s="10">
        <f>IFERROR(LEFT(A68,FIND("-",A68)-1),"")</f>
        <v/>
      </c>
      <c r="C68" s="11" t="inlineStr">
        <is>
          <t>Have your partner pick someone else (jilted-athlete email?)</t>
        </is>
      </c>
      <c r="D68" s="12" t="n"/>
      <c r="E68" s="13" t="n"/>
      <c r="F68" s="13" t="n"/>
      <c r="G68" s="14" t="n"/>
      <c r="H68" s="14" t="n"/>
      <c r="I68" s="13" t="n"/>
      <c r="J68" s="13" t="n"/>
      <c r="K68" s="13" t="n"/>
      <c r="L68" s="13" t="n"/>
      <c r="M68" s="13" t="n"/>
      <c r="N68" s="13" t="n"/>
      <c r="O68" s="14" t="n"/>
    </row>
    <row r="69" ht="15" customHeight="1">
      <c r="A69" s="9" t="inlineStr">
        <is>
          <t>G-09</t>
        </is>
      </c>
      <c r="B69" s="10">
        <f>IFERROR(LEFT(A69,FIND("-",A69)-1),"")</f>
        <v/>
      </c>
      <c r="C69" s="11" t="inlineStr">
        <is>
          <t>Add-ons in the popup: banquet / t-shirt / leo / banner</t>
        </is>
      </c>
      <c r="D69" s="12" t="n"/>
      <c r="E69" s="13" t="n"/>
      <c r="F69" s="13" t="n"/>
      <c r="G69" s="14" t="n"/>
      <c r="H69" s="14" t="n"/>
      <c r="I69" s="13" t="n"/>
      <c r="J69" s="13" t="n"/>
      <c r="K69" s="13" t="n"/>
      <c r="L69" s="13" t="n"/>
      <c r="M69" s="13" t="n"/>
      <c r="N69" s="13" t="n"/>
      <c r="O69" s="14" t="n"/>
    </row>
    <row r="70" ht="15" customHeight="1">
      <c r="A70" s="9" t="inlineStr">
        <is>
          <t>G-10</t>
        </is>
      </c>
      <c r="B70" s="10">
        <f>IFERROR(LEFT(A70,FIND("-",A70)-1),"")</f>
        <v/>
      </c>
      <c r="C70" s="11" t="inlineStr">
        <is>
          <t>Banquet: buy 2 for yourself (max 1 ASSIGNED to you)</t>
        </is>
      </c>
      <c r="D70" s="12" t="n"/>
      <c r="E70" s="13" t="n"/>
      <c r="F70" s="13" t="n"/>
      <c r="G70" s="14" t="n"/>
      <c r="H70" s="14" t="n"/>
      <c r="I70" s="13" t="n"/>
      <c r="J70" s="13" t="n"/>
      <c r="K70" s="13" t="n"/>
      <c r="L70" s="13" t="n"/>
      <c r="M70" s="13" t="n"/>
      <c r="N70" s="13" t="n"/>
      <c r="O70" s="14" t="n"/>
    </row>
    <row r="71" ht="15" customHeight="1">
      <c r="A71" s="9" t="inlineStr">
        <is>
          <t>G-11</t>
        </is>
      </c>
      <c r="B71" s="10">
        <f>IFERROR(LEFT(A71,FIND("-",A71)-1),"")</f>
        <v/>
      </c>
      <c r="C71" s="11" t="inlineStr">
        <is>
          <t>Survey questions come LAST, after add-ons</t>
        </is>
      </c>
      <c r="D71" s="12" t="n"/>
      <c r="E71" s="13" t="n"/>
      <c r="F71" s="13" t="n"/>
      <c r="G71" s="14" t="n"/>
      <c r="H71" s="14" t="n"/>
      <c r="I71" s="13" t="n"/>
      <c r="J71" s="13" t="n"/>
      <c r="K71" s="13" t="n"/>
      <c r="L71" s="13" t="n"/>
      <c r="M71" s="13" t="n"/>
      <c r="N71" s="13" t="n"/>
      <c r="O71" s="14" t="n"/>
    </row>
    <row r="72" ht="15" customHeight="1">
      <c r="A72" s="9" t="inlineStr">
        <is>
          <t>G-12</t>
        </is>
      </c>
      <c r="B72" s="10">
        <f>IFERROR(LEFT(A72,FIND("-",A72)-1),"")</f>
        <v/>
      </c>
      <c r="C72" s="11" t="inlineStr">
        <is>
          <t>#/me/registrations shows everything incl. add-ons + survey</t>
        </is>
      </c>
      <c r="D72" s="12" t="n"/>
      <c r="E72" s="13" t="n"/>
      <c r="F72" s="13" t="n"/>
      <c r="G72" s="14" t="n"/>
      <c r="H72" s="14" t="n"/>
      <c r="I72" s="13" t="n"/>
      <c r="J72" s="13" t="n"/>
      <c r="K72" s="13" t="n"/>
      <c r="L72" s="13" t="n"/>
      <c r="M72" s="13" t="n"/>
      <c r="N72" s="13" t="n"/>
      <c r="O72" s="14" t="n"/>
    </row>
    <row r="73" ht="15" customHeight="1">
      <c r="A73" s="9" t="inlineStr">
        <is>
          <t>G-13</t>
        </is>
      </c>
      <c r="B73" s="10">
        <f>IFERROR(LEFT(A73,FIND("-",A73)-1),"")</f>
        <v/>
      </c>
      <c r="C73" s="11" t="inlineStr">
        <is>
          <t>Edit a COMPETITION detail after paying (change fee applies)</t>
        </is>
      </c>
      <c r="D73" s="12" t="n"/>
      <c r="E73" s="13" t="n"/>
      <c r="F73" s="13" t="n"/>
      <c r="G73" s="14" t="n"/>
      <c r="H73" s="14" t="n"/>
      <c r="I73" s="13" t="n"/>
      <c r="J73" s="13" t="n"/>
      <c r="K73" s="13" t="n"/>
      <c r="L73" s="13" t="n"/>
      <c r="M73" s="13" t="n"/>
      <c r="N73" s="13" t="n"/>
      <c r="O73" s="14" t="n"/>
    </row>
    <row r="74" ht="15" customHeight="1">
      <c r="A74" s="9" t="inlineStr">
        <is>
          <t>G-14</t>
        </is>
      </c>
      <c r="B74" s="10">
        <f>IFERROR(LEFT(A74,FIND("-",A74)-1),"")</f>
        <v/>
      </c>
      <c r="C74" s="11" t="inlineStr">
        <is>
          <t>Edit an ADD-ON or SURVEY answer after paying (NO change fee)</t>
        </is>
      </c>
      <c r="D74" s="12" t="n"/>
      <c r="E74" s="13" t="n"/>
      <c r="F74" s="13" t="n"/>
      <c r="G74" s="14" t="n"/>
      <c r="H74" s="14" t="n"/>
      <c r="I74" s="13" t="n"/>
      <c r="J74" s="13" t="n"/>
      <c r="K74" s="13" t="n"/>
      <c r="L74" s="13" t="n"/>
      <c r="M74" s="13" t="n"/>
      <c r="N74" s="13" t="n"/>
      <c r="O74" s="14" t="n"/>
    </row>
    <row r="75" ht="15" customHeight="1">
      <c r="A75" s="9" t="inlineStr">
        <is>
          <t>G-15</t>
        </is>
      </c>
      <c r="B75" s="10">
        <f>IFERROR(LEFT(A75,FIND("-",A75)-1),"")</f>
        <v/>
      </c>
      <c r="C75" s="11" t="inlineStr">
        <is>
          <t>Try to edit after the change deadline</t>
        </is>
      </c>
      <c r="D75" s="12" t="n"/>
      <c r="E75" s="13" t="n"/>
      <c r="F75" s="13" t="n"/>
      <c r="G75" s="14" t="n"/>
      <c r="H75" s="14" t="n"/>
      <c r="I75" s="13" t="n"/>
      <c r="J75" s="13" t="n"/>
      <c r="K75" s="13" t="n"/>
      <c r="L75" s="13" t="n"/>
      <c r="M75" s="13" t="n"/>
      <c r="N75" s="13" t="n"/>
      <c r="O75" s="14" t="n"/>
    </row>
    <row r="76" ht="15" customHeight="1">
      <c r="A76" s="9" t="inlineStr">
        <is>
          <t>G-16</t>
        </is>
      </c>
      <c r="B76" s="10">
        <f>IFERROR(LEFT(A76,FIND("-",A76)-1),"")</f>
        <v/>
      </c>
      <c r="C76" s="11" t="inlineStr">
        <is>
          <t>Register with a late-registration code (late fee on top)</t>
        </is>
      </c>
      <c r="D76" s="12" t="n"/>
      <c r="E76" s="13" t="n"/>
      <c r="F76" s="13" t="n"/>
      <c r="G76" s="14" t="n"/>
      <c r="H76" s="14" t="n"/>
      <c r="I76" s="13" t="n"/>
      <c r="J76" s="13" t="n"/>
      <c r="K76" s="13" t="n"/>
      <c r="L76" s="13" t="n"/>
      <c r="M76" s="13" t="n"/>
      <c r="N76" s="13" t="n"/>
      <c r="O76" s="14" t="n"/>
    </row>
    <row r="77" ht="15" customHeight="1">
      <c r="A77" s="9" t="inlineStr">
        <is>
          <t>G-17</t>
        </is>
      </c>
      <c r="B77" s="10">
        <f>IFERROR(LEFT(A77,FIND("-",A77)-1),"")</f>
        <v/>
      </c>
      <c r="C77" s="11" t="inlineStr">
        <is>
          <t>Use that code AFTER lastDateToEdit (should stop working)</t>
        </is>
      </c>
      <c r="D77" s="12" t="n"/>
      <c r="E77" s="13" t="n"/>
      <c r="F77" s="13" t="n"/>
      <c r="G77" s="14" t="n"/>
      <c r="H77" s="14" t="n"/>
      <c r="I77" s="13" t="n"/>
      <c r="J77" s="13" t="n"/>
      <c r="K77" s="13" t="n"/>
      <c r="L77" s="13" t="n"/>
      <c r="M77" s="13" t="n"/>
      <c r="N77" s="13" t="n"/>
      <c r="O77" s="14" t="n"/>
    </row>
    <row r="78" ht="15" customHeight="1">
      <c r="A78" s="9" t="inlineStr">
        <is>
          <t>G-18</t>
        </is>
      </c>
      <c r="B78" s="10">
        <f>IFERROR(LEFT(A78,FIND("-",A78)-1),"")</f>
        <v/>
      </c>
      <c r="C78" s="11" t="inlineStr">
        <is>
          <t>Copy-link button; open the link in incognito</t>
        </is>
      </c>
      <c r="D78" s="12" t="n"/>
      <c r="E78" s="13" t="n"/>
      <c r="F78" s="13" t="n"/>
      <c r="G78" s="14" t="n"/>
      <c r="H78" s="14" t="n"/>
      <c r="I78" s="13" t="n"/>
      <c r="J78" s="13" t="n"/>
      <c r="K78" s="13" t="n"/>
      <c r="L78" s="13" t="n"/>
      <c r="M78" s="13" t="n"/>
      <c r="N78" s="13" t="n"/>
      <c r="O78" s="14" t="n"/>
    </row>
    <row r="79" ht="15" customHeight="1">
      <c r="A79" s="9" t="inlineStr">
        <is>
          <t>G-19</t>
        </is>
      </c>
      <c r="B79" s="10">
        <f>IFERROR(LEFT(A79,FIND("-",A79)-1),"")</f>
        <v/>
      </c>
      <c r="C79" s="11" t="inlineStr">
        <is>
          <t>Register for an event in a different timezone</t>
        </is>
      </c>
      <c r="D79" s="12" t="n"/>
      <c r="E79" s="13" t="n"/>
      <c r="F79" s="13" t="n"/>
      <c r="G79" s="14" t="n"/>
      <c r="H79" s="14" t="n"/>
      <c r="I79" s="13" t="n"/>
      <c r="J79" s="13" t="n"/>
      <c r="K79" s="13" t="n"/>
      <c r="L79" s="13" t="n"/>
      <c r="M79" s="13" t="n"/>
      <c r="N79" s="13" t="n"/>
      <c r="O79" s="14" t="n"/>
    </row>
    <row r="80" ht="15" customHeight="1">
      <c r="A80" s="9" t="inlineStr">
        <is>
          <t>G-20</t>
        </is>
      </c>
      <c r="B80" s="10">
        <f>IFERROR(LEFT(A80,FIND("-",A80)-1),"")</f>
        <v/>
      </c>
      <c r="C80" s="11" t="inlineStr">
        <is>
          <t>Request a refund on one of your registrations (self-serve)</t>
        </is>
      </c>
      <c r="D80" s="12" t="n"/>
      <c r="E80" s="13" t="n"/>
      <c r="F80" s="13" t="n"/>
      <c r="G80" s="14" t="n"/>
      <c r="H80" s="14" t="n"/>
      <c r="I80" s="13" t="n"/>
      <c r="J80" s="13" t="n"/>
      <c r="K80" s="13" t="n"/>
      <c r="L80" s="13" t="n"/>
      <c r="M80" s="13" t="n"/>
      <c r="N80" s="13" t="n"/>
      <c r="O80" s="14" t="n"/>
    </row>
    <row r="81" ht="20" customHeight="1">
      <c r="A81" s="8" t="inlineStr">
        <is>
          <t>W  -  Membership &amp; waivers</t>
        </is>
      </c>
    </row>
    <row r="82" ht="15" customHeight="1">
      <c r="A82" s="9" t="inlineStr">
        <is>
          <t>W-01</t>
        </is>
      </c>
      <c r="B82" s="10">
        <f>IFERROR(LEFT(A82,FIND("-",A82)-1),"")</f>
        <v/>
      </c>
      <c r="C82" s="11" t="inlineStr">
        <is>
          <t>Buy an athlete membership end to end</t>
        </is>
      </c>
      <c r="D82" s="12" t="n"/>
      <c r="E82" s="13" t="n"/>
      <c r="F82" s="13" t="n"/>
      <c r="G82" s="14" t="n"/>
      <c r="H82" s="14" t="n"/>
      <c r="I82" s="13" t="n"/>
      <c r="J82" s="13" t="n"/>
      <c r="K82" s="13" t="n"/>
      <c r="L82" s="13" t="n"/>
      <c r="M82" s="13" t="n"/>
      <c r="N82" s="13" t="n"/>
      <c r="O82" s="14" t="n"/>
    </row>
    <row r="83" ht="15" customHeight="1">
      <c r="A83" s="9" t="inlineStr">
        <is>
          <t>W-02</t>
        </is>
      </c>
      <c r="B83" s="10">
        <f>IFERROR(LEFT(A83,FIND("-",A83)-1),"")</f>
        <v/>
      </c>
      <c r="C83" s="11" t="inlineStr">
        <is>
          <t>Buy a coach membership</t>
        </is>
      </c>
      <c r="D83" s="12" t="n"/>
      <c r="E83" s="13" t="n"/>
      <c r="F83" s="13" t="n"/>
      <c r="G83" s="14" t="n"/>
      <c r="H83" s="14" t="n"/>
      <c r="I83" s="13" t="n"/>
      <c r="J83" s="13" t="n"/>
      <c r="K83" s="13" t="n"/>
      <c r="L83" s="13" t="n"/>
      <c r="M83" s="13" t="n"/>
      <c r="N83" s="13" t="n"/>
      <c r="O83" s="14" t="n"/>
    </row>
    <row r="84" ht="15" customHeight="1">
      <c r="A84" s="9" t="inlineStr">
        <is>
          <t>W-03</t>
        </is>
      </c>
      <c r="B84" s="10">
        <f>IFERROR(LEFT(A84,FIND("-",A84)-1),"")</f>
        <v/>
      </c>
      <c r="C84" s="11" t="inlineStr">
        <is>
          <t>Sign the waiver inline during purchase</t>
        </is>
      </c>
      <c r="D84" s="12" t="n"/>
      <c r="E84" s="13" t="n"/>
      <c r="F84" s="13" t="n"/>
      <c r="G84" s="14" t="n"/>
      <c r="H84" s="14" t="n"/>
      <c r="I84" s="13" t="n"/>
      <c r="J84" s="13" t="n"/>
      <c r="K84" s="13" t="n"/>
      <c r="L84" s="13" t="n"/>
      <c r="M84" s="13" t="n"/>
      <c r="N84" s="13" t="n"/>
      <c r="O84" s="14" t="n"/>
    </row>
    <row r="85" ht="15" customHeight="1">
      <c r="A85" s="9" t="inlineStr">
        <is>
          <t>W-04</t>
        </is>
      </c>
      <c r="B85" s="10">
        <f>IFERROR(LEFT(A85,FIND("-",A85)-1),"")</f>
        <v/>
      </c>
      <c r="C85" s="11" t="inlineStr">
        <is>
          <t>Sign via the emailed direct link as an adult</t>
        </is>
      </c>
      <c r="D85" s="12" t="n"/>
      <c r="E85" s="13" t="n"/>
      <c r="F85" s="13" t="n"/>
      <c r="G85" s="14" t="n"/>
      <c r="H85" s="14" t="n"/>
      <c r="I85" s="13" t="n"/>
      <c r="J85" s="13" t="n"/>
      <c r="K85" s="13" t="n"/>
      <c r="L85" s="13" t="n"/>
      <c r="M85" s="13" t="n"/>
      <c r="N85" s="13" t="n"/>
      <c r="O85" s="14" t="n"/>
    </row>
    <row r="86" ht="15" customHeight="1">
      <c r="A86" s="9" t="inlineStr">
        <is>
          <t>W-05</t>
        </is>
      </c>
      <c r="B86" s="10">
        <f>IFERROR(LEFT(A86,FIND("-",A86)-1),"")</f>
        <v/>
      </c>
      <c r="C86" s="11" t="inlineStr">
        <is>
          <t>Guardian path: minor's membership -&gt; guardian waiver request</t>
        </is>
      </c>
      <c r="D86" s="12" t="n"/>
      <c r="E86" s="13" t="n"/>
      <c r="F86" s="13" t="n"/>
      <c r="G86" s="14" t="n"/>
      <c r="H86" s="14" t="n"/>
      <c r="I86" s="13" t="n"/>
      <c r="J86" s="13" t="n"/>
      <c r="K86" s="13" t="n"/>
      <c r="L86" s="13" t="n"/>
      <c r="M86" s="13" t="n"/>
      <c r="N86" s="13" t="n"/>
      <c r="O86" s="14" t="n"/>
    </row>
    <row r="87" ht="15" customHeight="1">
      <c r="A87" s="9" t="inlineStr">
        <is>
          <t>W-06</t>
        </is>
      </c>
      <c r="B87" s="10">
        <f>IFERROR(LEFT(A87,FIND("-",A87)-1),"")</f>
        <v/>
      </c>
      <c r="C87" s="11" t="inlineStr">
        <is>
          <t>Try signing with the WRONG name on the direct link</t>
        </is>
      </c>
      <c r="D87" s="12" t="n"/>
      <c r="E87" s="13" t="n"/>
      <c r="F87" s="13" t="n"/>
      <c r="G87" s="14" t="n"/>
      <c r="H87" s="14" t="n"/>
      <c r="I87" s="13" t="n"/>
      <c r="J87" s="13" t="n"/>
      <c r="K87" s="13" t="n"/>
      <c r="L87" s="13" t="n"/>
      <c r="M87" s="13" t="n"/>
      <c r="N87" s="13" t="n"/>
      <c r="O87" s="14" t="n"/>
    </row>
    <row r="88" ht="15" customHeight="1">
      <c r="A88" s="9" t="inlineStr">
        <is>
          <t>W-07</t>
        </is>
      </c>
      <c r="B88" s="10">
        <f>IFERROR(LEFT(A88,FIND("-",A88)-1),"")</f>
        <v/>
      </c>
      <c r="C88" s="11" t="inlineStr">
        <is>
          <t>Club-paying membership while the club cart is UNPAID</t>
        </is>
      </c>
      <c r="D88" s="12" t="n"/>
      <c r="E88" s="13" t="n"/>
      <c r="F88" s="13" t="n"/>
      <c r="G88" s="14" t="n"/>
      <c r="H88" s="14" t="n"/>
      <c r="I88" s="13" t="n"/>
      <c r="J88" s="13" t="n"/>
      <c r="K88" s="13" t="n"/>
      <c r="L88" s="13" t="n"/>
      <c r="M88" s="13" t="n"/>
      <c r="N88" s="13" t="n"/>
      <c r="O88" s="14" t="n"/>
    </row>
    <row r="89" ht="15" customHeight="1">
      <c r="A89" s="9" t="inlineStr">
        <is>
          <t>W-08</t>
        </is>
      </c>
      <c r="B89" s="10">
        <f>IFERROR(LEFT(A89,FIND("-",A89)-1),"")</f>
        <v/>
      </c>
      <c r="C89" s="11" t="inlineStr">
        <is>
          <t>*** Same membership AFTER the club pays (see Appendix B) ***</t>
        </is>
      </c>
      <c r="D89" s="12" t="n"/>
      <c r="E89" s="13" t="n"/>
      <c r="F89" s="13" t="n"/>
      <c r="G89" s="14" t="n"/>
      <c r="H89" s="14" t="n"/>
      <c r="I89" s="13" t="n"/>
      <c r="J89" s="13" t="n"/>
      <c r="K89" s="13" t="n"/>
      <c r="L89" s="13" t="n"/>
      <c r="M89" s="13" t="n"/>
      <c r="N89" s="13" t="n"/>
      <c r="O89" s="14" t="n"/>
    </row>
    <row r="90" ht="15" customHeight="1">
      <c r="A90" s="9" t="inlineStr">
        <is>
          <t>W-09</t>
        </is>
      </c>
      <c r="B90" s="10">
        <f>IFERROR(LEFT(A90,FIND("-",A90)-1),"")</f>
        <v/>
      </c>
      <c r="C90" s="11" t="inlineStr">
        <is>
          <t>Membership with BOTH a waiver hold and a club-payment hold</t>
        </is>
      </c>
      <c r="D90" s="12" t="n"/>
      <c r="E90" s="13" t="n"/>
      <c r="F90" s="13" t="n"/>
      <c r="G90" s="14" t="n"/>
      <c r="H90" s="14" t="n"/>
      <c r="I90" s="13" t="n"/>
      <c r="J90" s="13" t="n"/>
      <c r="K90" s="13" t="n"/>
      <c r="L90" s="13" t="n"/>
      <c r="M90" s="13" t="n"/>
      <c r="N90" s="13" t="n"/>
      <c r="O90" s="14" t="n"/>
    </row>
    <row r="91" ht="15" customHeight="1">
      <c r="A91" s="9" t="inlineStr">
        <is>
          <t>W-10</t>
        </is>
      </c>
      <c r="B91" s="10">
        <f>IFERROR(LEFT(A91,FIND("-",A91)-1),"")</f>
        <v/>
      </c>
      <c r="C91" s="11" t="inlineStr">
        <is>
          <t>Admin: who signed which waiver version</t>
        </is>
      </c>
      <c r="D91" s="12" t="n"/>
      <c r="E91" s="13" t="n"/>
      <c r="F91" s="13" t="n"/>
      <c r="G91" s="14" t="n"/>
      <c r="H91" s="14" t="n"/>
      <c r="I91" s="13" t="n"/>
      <c r="J91" s="13" t="n"/>
      <c r="K91" s="13" t="n"/>
      <c r="L91" s="13" t="n"/>
      <c r="M91" s="13" t="n"/>
      <c r="N91" s="13" t="n"/>
      <c r="O91" s="14" t="n"/>
    </row>
    <row r="92" ht="15" customHeight="1">
      <c r="A92" s="9" t="inlineStr">
        <is>
          <t>W-11</t>
        </is>
      </c>
      <c r="B92" s="10">
        <f>IFERROR(LEFT(A92,FIND("-",A92)-1),"")</f>
        <v/>
      </c>
      <c r="C92" s="11" t="inlineStr">
        <is>
          <t>Publish a new waiver version; check an existing signature</t>
        </is>
      </c>
      <c r="D92" s="12" t="n"/>
      <c r="E92" s="13" t="n"/>
      <c r="F92" s="13" t="n"/>
      <c r="G92" s="14" t="n"/>
      <c r="H92" s="14" t="n"/>
      <c r="I92" s="13" t="n"/>
      <c r="J92" s="13" t="n"/>
      <c r="K92" s="13" t="n"/>
      <c r="L92" s="13" t="n"/>
      <c r="M92" s="13" t="n"/>
      <c r="N92" s="13" t="n"/>
      <c r="O92" s="14" t="n"/>
    </row>
    <row r="93" ht="15" customHeight="1">
      <c r="A93" s="9" t="inlineStr">
        <is>
          <t>W-12</t>
        </is>
      </c>
      <c r="B93" s="10">
        <f>IFERROR(LEFT(A93,FIND("-",A93)-1),"")</f>
        <v/>
      </c>
      <c r="C93" s="11" t="inlineStr">
        <is>
          <t>Buy a membership for a past/future season</t>
        </is>
      </c>
      <c r="D93" s="12" t="n"/>
      <c r="E93" s="13" t="n"/>
      <c r="F93" s="13" t="n"/>
      <c r="G93" s="14" t="n"/>
      <c r="H93" s="14" t="n"/>
      <c r="I93" s="13" t="n"/>
      <c r="J93" s="13" t="n"/>
      <c r="K93" s="13" t="n"/>
      <c r="L93" s="13" t="n"/>
      <c r="M93" s="13" t="n"/>
      <c r="N93" s="13" t="n"/>
      <c r="O93" s="14" t="n"/>
    </row>
    <row r="94" ht="20" customHeight="1">
      <c r="A94" s="8" t="inlineStr">
        <is>
          <t>K  -  Camps</t>
        </is>
      </c>
    </row>
    <row r="95" ht="15" customHeight="1">
      <c r="A95" s="9" t="inlineStr">
        <is>
          <t>K-01</t>
        </is>
      </c>
      <c r="B95" s="10">
        <f>IFERROR(LEFT(A95,FIND("-",A95)-1),"")</f>
        <v/>
      </c>
      <c r="C95" s="11" t="inlineStr">
        <is>
          <t>Register for a camp (no discipline/level/apparatus step)</t>
        </is>
      </c>
      <c r="D95" s="12" t="n"/>
      <c r="E95" s="13" t="n"/>
      <c r="F95" s="13" t="n"/>
      <c r="G95" s="14" t="n"/>
      <c r="H95" s="14" t="n"/>
      <c r="I95" s="13" t="n"/>
      <c r="J95" s="13" t="n"/>
      <c r="K95" s="13" t="n"/>
      <c r="L95" s="13" t="n"/>
      <c r="M95" s="13" t="n"/>
      <c r="N95" s="13" t="n"/>
      <c r="O95" s="14" t="n"/>
    </row>
    <row r="96" ht="15" customHeight="1">
      <c r="A96" s="9" t="inlineStr">
        <is>
          <t>K-02</t>
        </is>
      </c>
      <c r="B96" s="10">
        <f>IFERROR(LEFT(A96,FIND("-",A96)-1),"")</f>
        <v/>
      </c>
      <c r="C96" s="11" t="inlineStr">
        <is>
          <t>Camp registration WITHOUT a club membership (should be allowed)</t>
        </is>
      </c>
      <c r="D96" s="12" t="n"/>
      <c r="E96" s="13" t="n"/>
      <c r="F96" s="13" t="n"/>
      <c r="G96" s="14" t="n"/>
      <c r="H96" s="14" t="n"/>
      <c r="I96" s="13" t="n"/>
      <c r="J96" s="13" t="n"/>
      <c r="K96" s="13" t="n"/>
      <c r="L96" s="13" t="n"/>
      <c r="M96" s="13" t="n"/>
      <c r="N96" s="13" t="n"/>
      <c r="O96" s="14" t="n"/>
    </row>
    <row r="97" ht="15" customHeight="1">
      <c r="A97" s="9" t="inlineStr">
        <is>
          <t>K-03</t>
        </is>
      </c>
      <c r="B97" s="10">
        <f>IFERROR(LEFT(A97,FIND("-",A97)-1),"")</f>
        <v/>
      </c>
      <c r="C97" s="11" t="inlineStr">
        <is>
          <t>Camp registration WITHOUT an individual membership (should block)</t>
        </is>
      </c>
      <c r="D97" s="12" t="n"/>
      <c r="E97" s="13" t="n"/>
      <c r="F97" s="13" t="n"/>
      <c r="G97" s="14" t="n"/>
      <c r="H97" s="14" t="n"/>
      <c r="I97" s="13" t="n"/>
      <c r="J97" s="13" t="n"/>
      <c r="K97" s="13" t="n"/>
      <c r="L97" s="13" t="n"/>
      <c r="M97" s="13" t="n"/>
      <c r="N97" s="13" t="n"/>
      <c r="O97" s="14" t="n"/>
    </row>
    <row r="98" ht="15" customHeight="1">
      <c r="A98" s="9" t="inlineStr">
        <is>
          <t>K-04</t>
        </is>
      </c>
      <c r="B98" s="10">
        <f>IFERROR(LEFT(A98,FIND("-",A98)-1),"")</f>
        <v/>
      </c>
      <c r="C98" s="11" t="inlineStr">
        <is>
          <t>Overnight survey: bedtime / noise / cabin gender / roommate</t>
        </is>
      </c>
      <c r="D98" s="12" t="n"/>
      <c r="E98" s="13" t="n"/>
      <c r="F98" s="13" t="n"/>
      <c r="G98" s="14" t="n"/>
      <c r="H98" s="14" t="n"/>
      <c r="I98" s="13" t="n"/>
      <c r="J98" s="13" t="n"/>
      <c r="K98" s="13" t="n"/>
      <c r="L98" s="13" t="n"/>
      <c r="M98" s="13" t="n"/>
      <c r="N98" s="13" t="n"/>
      <c r="O98" s="14" t="n"/>
    </row>
    <row r="99" ht="15" customHeight="1">
      <c r="A99" s="9" t="inlineStr">
        <is>
          <t>K-05</t>
        </is>
      </c>
      <c r="B99" s="10">
        <f>IFERROR(LEFT(A99,FIND("-",A99)-1),"")</f>
        <v/>
      </c>
      <c r="C99" s="11" t="inlineStr">
        <is>
          <t>Edit the survey after registering (free, no change fee)</t>
        </is>
      </c>
      <c r="D99" s="12" t="n"/>
      <c r="E99" s="13" t="n"/>
      <c r="F99" s="13" t="n"/>
      <c r="G99" s="14" t="n"/>
      <c r="H99" s="14" t="n"/>
      <c r="I99" s="13" t="n"/>
      <c r="J99" s="13" t="n"/>
      <c r="K99" s="13" t="n"/>
      <c r="L99" s="13" t="n"/>
      <c r="M99" s="13" t="n"/>
      <c r="N99" s="13" t="n"/>
      <c r="O99" s="14" t="n"/>
    </row>
    <row r="100" ht="15" customHeight="1">
      <c r="A100" s="9" t="inlineStr">
        <is>
          <t>K-06</t>
        </is>
      </c>
      <c r="B100" s="10">
        <f>IFERROR(LEFT(A100,FIND("-",A100)-1),"")</f>
        <v/>
      </c>
      <c r="C100" s="11" t="inlineStr">
        <is>
          <t>Camp add-ons: size required, $0 allowed, explicit 'no shirt/leo'</t>
        </is>
      </c>
      <c r="D100" s="12" t="n"/>
      <c r="E100" s="13" t="n"/>
      <c r="F100" s="13" t="n"/>
      <c r="G100" s="14" t="n"/>
      <c r="H100" s="14" t="n"/>
      <c r="I100" s="13" t="n"/>
      <c r="J100" s="13" t="n"/>
      <c r="K100" s="13" t="n"/>
      <c r="L100" s="13" t="n"/>
      <c r="M100" s="13" t="n"/>
      <c r="N100" s="13" t="n"/>
      <c r="O100" s="14" t="n"/>
    </row>
    <row r="101" ht="15" customHeight="1">
      <c r="A101" s="9" t="inlineStr">
        <is>
          <t>K-07</t>
        </is>
      </c>
      <c r="B101" s="10">
        <f>IFERROR(LEFT(A101,FIND("-",A101)-1),"")</f>
        <v/>
      </c>
      <c r="C101" s="11" t="inlineStr">
        <is>
          <t>Camp confirmation email: survey + add-ons + edit link</t>
        </is>
      </c>
      <c r="D101" s="12" t="n"/>
      <c r="E101" s="13" t="n"/>
      <c r="F101" s="13" t="n"/>
      <c r="G101" s="14" t="n"/>
      <c r="H101" s="14" t="n"/>
      <c r="I101" s="13" t="n"/>
      <c r="J101" s="13" t="n"/>
      <c r="K101" s="13" t="n"/>
      <c r="L101" s="13" t="n"/>
      <c r="M101" s="13" t="n"/>
      <c r="N101" s="13" t="n"/>
      <c r="O101" s="14" t="n"/>
    </row>
    <row r="102" ht="15" customHeight="1">
      <c r="A102" s="9" t="inlineStr">
        <is>
          <t>K-08</t>
        </is>
      </c>
      <c r="B102" s="10">
        <f>IFERROR(LEFT(A102,FIND("-",A102)-1),"")</f>
        <v/>
      </c>
      <c r="C102" s="11" t="inlineStr">
        <is>
          <t>Camp export: 1 line per athlete with all the spec'd columns</t>
        </is>
      </c>
      <c r="D102" s="12" t="n"/>
      <c r="E102" s="13" t="n"/>
      <c r="F102" s="13" t="n"/>
      <c r="G102" s="14" t="n"/>
      <c r="H102" s="14" t="n"/>
      <c r="I102" s="13" t="n"/>
      <c r="J102" s="13" t="n"/>
      <c r="K102" s="13" t="n"/>
      <c r="L102" s="13" t="n"/>
      <c r="M102" s="13" t="n"/>
      <c r="N102" s="13" t="n"/>
      <c r="O102" s="14" t="n"/>
    </row>
    <row r="103" ht="15" customHeight="1">
      <c r="A103" s="9" t="inlineStr">
        <is>
          <t>K-09</t>
        </is>
      </c>
      <c r="B103" s="10">
        <f>IFERROR(LEFT(A103,FIND("-",A103)-1),"")</f>
        <v/>
      </c>
      <c r="C103" s="11" t="inlineStr">
        <is>
          <t>*** DECISION: can a club manager register athletes for a camp? ***</t>
        </is>
      </c>
      <c r="D103" s="12" t="n"/>
      <c r="E103" s="13" t="n"/>
      <c r="F103" s="13" t="n"/>
      <c r="G103" s="14" t="n"/>
      <c r="H103" s="14" t="n"/>
      <c r="I103" s="13" t="n"/>
      <c r="J103" s="13" t="n"/>
      <c r="K103" s="13" t="n"/>
      <c r="L103" s="13" t="n"/>
      <c r="M103" s="13" t="n"/>
      <c r="N103" s="13" t="n"/>
      <c r="O103" s="14" t="n"/>
    </row>
    <row r="104" ht="15" customHeight="1">
      <c r="A104" s="9" t="inlineStr">
        <is>
          <t>K-10</t>
        </is>
      </c>
      <c r="B104" s="10">
        <f>IFERROR(LEFT(A104,FIND("-",A104)-1),"")</f>
        <v/>
      </c>
      <c r="C104" s="11" t="inlineStr">
        <is>
          <t>Edit a camp registration made before 2026-07-23 (if any exist)</t>
        </is>
      </c>
      <c r="D104" s="12" t="n"/>
      <c r="E104" s="13" t="n"/>
      <c r="F104" s="13" t="n"/>
      <c r="G104" s="14" t="n"/>
      <c r="H104" s="14" t="n"/>
      <c r="I104" s="13" t="n"/>
      <c r="J104" s="13" t="n"/>
      <c r="K104" s="13" t="n"/>
      <c r="L104" s="13" t="n"/>
      <c r="M104" s="13" t="n"/>
      <c r="N104" s="13" t="n"/>
      <c r="O104" s="14" t="n"/>
    </row>
    <row r="105" ht="20" customHeight="1">
      <c r="A105" s="8" t="inlineStr">
        <is>
          <t>C  -  Club manager</t>
        </is>
      </c>
    </row>
    <row r="106" ht="15" customHeight="1">
      <c r="A106" s="9" t="inlineStr">
        <is>
          <t>C-01</t>
        </is>
      </c>
      <c r="B106" s="10">
        <f>IFERROR(LEFT(A106,FIND("-",A106)-1),"")</f>
        <v/>
      </c>
      <c r="C106" s="11" t="inlineStr">
        <is>
          <t>Roster: add, edit, remove an athlete</t>
        </is>
      </c>
      <c r="D106" s="12" t="n"/>
      <c r="E106" s="13" t="n"/>
      <c r="F106" s="13" t="n"/>
      <c r="G106" s="14" t="n"/>
      <c r="H106" s="14" t="n"/>
      <c r="I106" s="13" t="n"/>
      <c r="J106" s="13" t="n"/>
      <c r="K106" s="13" t="n"/>
      <c r="L106" s="13" t="n"/>
      <c r="M106" s="13" t="n"/>
      <c r="N106" s="13" t="n"/>
      <c r="O106" s="14" t="n"/>
    </row>
    <row r="107" ht="15" customHeight="1">
      <c r="A107" s="9" t="inlineStr">
        <is>
          <t>C-02</t>
        </is>
      </c>
      <c r="B107" s="10">
        <f>IFERROR(LEFT(A107,FIND("-",A107)-1),"")</f>
        <v/>
      </c>
      <c r="C107" s="11" t="inlineStr">
        <is>
          <t>Send a club invite; accept it from the other side</t>
        </is>
      </c>
      <c r="D107" s="12" t="n"/>
      <c r="E107" s="13" t="n"/>
      <c r="F107" s="13" t="n"/>
      <c r="G107" s="14" t="n"/>
      <c r="H107" s="14" t="n"/>
      <c r="I107" s="13" t="n"/>
      <c r="J107" s="13" t="n"/>
      <c r="K107" s="13" t="n"/>
      <c r="L107" s="13" t="n"/>
      <c r="M107" s="13" t="n"/>
      <c r="N107" s="13" t="n"/>
      <c r="O107" s="14" t="n"/>
    </row>
    <row r="108" ht="15" customHeight="1">
      <c r="A108" s="9" t="inlineStr">
        <is>
          <t>C-03</t>
        </is>
      </c>
      <c r="B108" s="10">
        <f>IFERROR(LEFT(A108,FIND("-",A108)-1),"")</f>
        <v/>
      </c>
      <c r="C108" s="11" t="inlineStr">
        <is>
          <t>Status bubbles: Registered / In Cart / Pending Changes / Updated</t>
        </is>
      </c>
      <c r="D108" s="12" t="n"/>
      <c r="E108" s="13" t="n"/>
      <c r="F108" s="13" t="n"/>
      <c r="G108" s="14" t="n"/>
      <c r="H108" s="14" t="n"/>
      <c r="I108" s="13" t="n"/>
      <c r="J108" s="13" t="n"/>
      <c r="K108" s="13" t="n"/>
      <c r="L108" s="13" t="n"/>
      <c r="M108" s="13" t="n"/>
      <c r="N108" s="13" t="n"/>
      <c r="O108" s="14" t="n"/>
    </row>
    <row r="109" ht="15" customHeight="1">
      <c r="A109" s="9" t="inlineStr">
        <is>
          <t>C-04</t>
        </is>
      </c>
      <c r="B109" s="10">
        <f>IFERROR(LEFT(A109,FIND("-",A109)-1),"")</f>
        <v/>
      </c>
      <c r="C109" s="11" t="inlineStr">
        <is>
          <t>Swap an athlete in an existing registration (change fee applies)</t>
        </is>
      </c>
      <c r="D109" s="12" t="n"/>
      <c r="E109" s="13" t="n"/>
      <c r="F109" s="13" t="n"/>
      <c r="G109" s="14" t="n"/>
      <c r="H109" s="14" t="n"/>
      <c r="I109" s="13" t="n"/>
      <c r="J109" s="13" t="n"/>
      <c r="K109" s="13" t="n"/>
      <c r="L109" s="13" t="n"/>
      <c r="M109" s="13" t="n"/>
      <c r="N109" s="13" t="n"/>
      <c r="O109" s="14" t="n"/>
    </row>
    <row r="110" ht="15" customHeight="1">
      <c r="A110" s="9" t="inlineStr">
        <is>
          <t>C-05</t>
        </is>
      </c>
      <c r="B110" s="10">
        <f>IFERROR(LEFT(A110,FIND("-",A110)-1),"")</f>
        <v/>
      </c>
      <c r="C110" s="11" t="inlineStr">
        <is>
          <t>Register several athletes at once; check out as the club</t>
        </is>
      </c>
      <c r="D110" s="12" t="n"/>
      <c r="E110" s="13" t="n"/>
      <c r="F110" s="13" t="n"/>
      <c r="G110" s="14" t="n"/>
      <c r="H110" s="14" t="n"/>
      <c r="I110" s="13" t="n"/>
      <c r="J110" s="13" t="n"/>
      <c r="K110" s="13" t="n"/>
      <c r="L110" s="13" t="n"/>
      <c r="M110" s="13" t="n"/>
      <c r="N110" s="13" t="n"/>
      <c r="O110" s="14" t="n"/>
    </row>
    <row r="111" ht="15" customHeight="1">
      <c r="A111" s="9" t="inlineStr">
        <is>
          <t>C-06</t>
        </is>
      </c>
      <c r="B111" s="10">
        <f>IFERROR(LEFT(A111,FIND("-",A111)-1),"")</f>
        <v/>
      </c>
      <c r="C111" s="11" t="inlineStr">
        <is>
          <t>Add-ons: assign banquet tickets to athletes and to EXTRA</t>
        </is>
      </c>
      <c r="D111" s="12" t="n"/>
      <c r="E111" s="13" t="n"/>
      <c r="F111" s="13" t="n"/>
      <c r="G111" s="14" t="n"/>
      <c r="H111" s="14" t="n"/>
      <c r="I111" s="13" t="n"/>
      <c r="J111" s="13" t="n"/>
      <c r="K111" s="13" t="n"/>
      <c r="L111" s="13" t="n"/>
      <c r="M111" s="13" t="n"/>
      <c r="N111" s="13" t="n"/>
      <c r="O111" s="14" t="n"/>
    </row>
    <row r="112" ht="15" customHeight="1">
      <c r="A112" s="9" t="inlineStr">
        <is>
          <t>C-07</t>
        </is>
      </c>
      <c r="B112" s="10">
        <f>IFERROR(LEFT(A112,FIND("-",A112)-1),"")</f>
        <v/>
      </c>
      <c r="C112" s="11" t="inlineStr">
        <is>
          <t>T-shirts/leos: quantity + size PER UNIT</t>
        </is>
      </c>
      <c r="D112" s="12" t="n"/>
      <c r="E112" s="13" t="n"/>
      <c r="F112" s="13" t="n"/>
      <c r="G112" s="14" t="n"/>
      <c r="H112" s="14" t="n"/>
      <c r="I112" s="13" t="n"/>
      <c r="J112" s="13" t="n"/>
      <c r="K112" s="13" t="n"/>
      <c r="L112" s="13" t="n"/>
      <c r="M112" s="13" t="n"/>
      <c r="N112" s="13" t="n"/>
      <c r="O112" s="14" t="n"/>
    </row>
    <row r="113" ht="15" customHeight="1">
      <c r="A113" s="9" t="inlineStr">
        <is>
          <t>C-08</t>
        </is>
      </c>
      <c r="B113" s="10">
        <f>IFERROR(LEFT(A113,FIND("-",A113)-1),"")</f>
        <v/>
      </c>
      <c r="C113" s="11" t="inlineStr">
        <is>
          <t>Club banner: 1 per club, exact-name text box</t>
        </is>
      </c>
      <c r="D113" s="12" t="n"/>
      <c r="E113" s="13" t="n"/>
      <c r="F113" s="13" t="n"/>
      <c r="G113" s="14" t="n"/>
      <c r="H113" s="14" t="n"/>
      <c r="I113" s="13" t="n"/>
      <c r="J113" s="13" t="n"/>
      <c r="K113" s="13" t="n"/>
      <c r="L113" s="13" t="n"/>
      <c r="M113" s="13" t="n"/>
      <c r="N113" s="13" t="n"/>
      <c r="O113" s="14" t="n"/>
    </row>
    <row r="114" ht="15" customHeight="1">
      <c r="A114" s="9" t="inlineStr">
        <is>
          <t>C-09</t>
        </is>
      </c>
      <c r="B114" s="10">
        <f>IFERROR(LEFT(A114,FIND("-",A114)-1),"")</f>
        <v/>
      </c>
      <c r="C114" s="11" t="inlineStr">
        <is>
          <t>Members-without-membership card + 'last sent [date]'</t>
        </is>
      </c>
      <c r="D114" s="12" t="n"/>
      <c r="E114" s="13" t="n"/>
      <c r="F114" s="13" t="n"/>
      <c r="G114" s="14" t="n"/>
      <c r="H114" s="14" t="n"/>
      <c r="I114" s="13" t="n"/>
      <c r="J114" s="13" t="n"/>
      <c r="K114" s="13" t="n"/>
      <c r="L114" s="13" t="n"/>
      <c r="M114" s="13" t="n"/>
      <c r="N114" s="13" t="n"/>
      <c r="O114" s="14" t="n"/>
    </row>
    <row r="115" ht="15" customHeight="1">
      <c r="A115" s="9" t="inlineStr">
        <is>
          <t>C-10</t>
        </is>
      </c>
      <c r="B115" s="10">
        <f>IFERROR(LEFT(A115,FIND("-",A115)-1),"")</f>
        <v/>
      </c>
      <c r="C115" s="11" t="inlineStr">
        <is>
          <t>'Create new athlete' from that card</t>
        </is>
      </c>
      <c r="D115" s="12" t="n"/>
      <c r="E115" s="13" t="n"/>
      <c r="F115" s="13" t="n"/>
      <c r="G115" s="14" t="n"/>
      <c r="H115" s="14" t="n"/>
      <c r="I115" s="13" t="n"/>
      <c r="J115" s="13" t="n"/>
      <c r="K115" s="13" t="n"/>
      <c r="L115" s="13" t="n"/>
      <c r="M115" s="13" t="n"/>
      <c r="N115" s="13" t="n"/>
      <c r="O115" s="14" t="n"/>
    </row>
    <row r="116" ht="15" customHeight="1">
      <c r="A116" s="9" t="inlineStr">
        <is>
          <t>C-11</t>
        </is>
      </c>
      <c r="B116" s="10">
        <f>IFERROR(LEFT(A116,FIND("-",A116)-1),"")</f>
        <v/>
      </c>
      <c r="C116" s="11" t="inlineStr">
        <is>
          <t>Set Competition Order (MAG/WAG; 12 WAG / 15 MAG per section)</t>
        </is>
      </c>
      <c r="D116" s="12" t="n"/>
      <c r="E116" s="13" t="n"/>
      <c r="F116" s="13" t="n"/>
      <c r="G116" s="14" t="n"/>
      <c r="H116" s="14" t="n"/>
      <c r="I116" s="13" t="n"/>
      <c r="J116" s="13" t="n"/>
      <c r="K116" s="13" t="n"/>
      <c r="L116" s="13" t="n"/>
      <c r="M116" s="13" t="n"/>
      <c r="N116" s="13" t="n"/>
      <c r="O116" s="14" t="n"/>
    </row>
    <row r="117" ht="15" customHeight="1">
      <c r="A117" s="9" t="inlineStr">
        <is>
          <t>C-12</t>
        </is>
      </c>
      <c r="B117" s="10">
        <f>IFERROR(LEFT(A117,FIND("-",A117)-1),"")</f>
        <v/>
      </c>
      <c r="C117" s="11" t="inlineStr">
        <is>
          <t>Admin locks competition orders; club becomes view-only</t>
        </is>
      </c>
      <c r="D117" s="12" t="n"/>
      <c r="E117" s="13" t="n"/>
      <c r="F117" s="13" t="n"/>
      <c r="G117" s="14" t="n"/>
      <c r="H117" s="14" t="n"/>
      <c r="I117" s="13" t="n"/>
      <c r="J117" s="13" t="n"/>
      <c r="K117" s="13" t="n"/>
      <c r="L117" s="13" t="n"/>
      <c r="M117" s="13" t="n"/>
      <c r="N117" s="13" t="n"/>
      <c r="O117" s="14" t="n"/>
    </row>
    <row r="118" ht="15" customHeight="1">
      <c r="A118" s="9" t="inlineStr">
        <is>
          <t>C-13</t>
        </is>
      </c>
      <c r="B118" s="10">
        <f>IFERROR(LEFT(A118,FIND("-",A118)-1),"")</f>
        <v/>
      </c>
      <c r="C118" s="11" t="inlineStr">
        <is>
          <t>Try to view ANOTHER club's roster by editing the URL</t>
        </is>
      </c>
      <c r="D118" s="12" t="n"/>
      <c r="E118" s="13" t="n"/>
      <c r="F118" s="13" t="n"/>
      <c r="G118" s="14" t="n"/>
      <c r="H118" s="14" t="n"/>
      <c r="I118" s="13" t="n"/>
      <c r="J118" s="13" t="n"/>
      <c r="K118" s="13" t="n"/>
      <c r="L118" s="13" t="n"/>
      <c r="M118" s="13" t="n"/>
      <c r="N118" s="13" t="n"/>
      <c r="O118" s="14" t="n"/>
    </row>
    <row r="119" ht="15" customHeight="1">
      <c r="A119" s="9" t="inlineStr">
        <is>
          <t>C-14</t>
        </is>
      </c>
      <c r="B119" s="10">
        <f>IFERROR(LEFT(A119,FIND("-",A119)-1),"")</f>
        <v/>
      </c>
      <c r="C119" s="11" t="inlineStr">
        <is>
          <t>Per-line refund request from the registered-athletes card</t>
        </is>
      </c>
      <c r="D119" s="12" t="n"/>
      <c r="E119" s="13" t="n"/>
      <c r="F119" s="13" t="n"/>
      <c r="G119" s="14" t="n"/>
      <c r="H119" s="14" t="n"/>
      <c r="I119" s="13" t="n"/>
      <c r="J119" s="13" t="n"/>
      <c r="K119" s="13" t="n"/>
      <c r="L119" s="13" t="n"/>
      <c r="M119" s="13" t="n"/>
      <c r="N119" s="13" t="n"/>
      <c r="O119" s="14" t="n"/>
    </row>
    <row r="120" ht="15" customHeight="1">
      <c r="A120" s="9" t="inlineStr">
        <is>
          <t>C-15</t>
        </is>
      </c>
      <c r="B120" s="10">
        <f>IFERROR(LEFT(A120,FIND("-",A120)-1),"")</f>
        <v/>
      </c>
      <c r="C120" s="11" t="inlineStr">
        <is>
          <t>Club Cart &amp; Receipts: past receipts, separate from personal</t>
        </is>
      </c>
      <c r="D120" s="12" t="n"/>
      <c r="E120" s="13" t="n"/>
      <c r="F120" s="13" t="n"/>
      <c r="G120" s="14" t="n"/>
      <c r="H120" s="14" t="n"/>
      <c r="I120" s="13" t="n"/>
      <c r="J120" s="13" t="n"/>
      <c r="K120" s="13" t="n"/>
      <c r="L120" s="13" t="n"/>
      <c r="M120" s="13" t="n"/>
      <c r="N120" s="13" t="n"/>
      <c r="O120" s="14" t="n"/>
    </row>
    <row r="121" ht="20" customHeight="1">
      <c r="A121" s="8" t="inlineStr">
        <is>
          <t>P  -  Capacity, waitlists &amp; by-session</t>
        </is>
      </c>
    </row>
    <row r="122" ht="15" customHeight="1">
      <c r="A122" s="9" t="inlineStr">
        <is>
          <t>P-01</t>
        </is>
      </c>
      <c r="B122" s="10">
        <f>IFERROR(LEFT(A122,FIND("-",A122)-1),"")</f>
        <v/>
      </c>
      <c r="C122" s="11" t="inlineStr">
        <is>
          <t>Total participant cap; fill it</t>
        </is>
      </c>
      <c r="D122" s="12" t="n"/>
      <c r="E122" s="13" t="n"/>
      <c r="F122" s="13" t="n"/>
      <c r="G122" s="14" t="n"/>
      <c r="H122" s="14" t="n"/>
      <c r="I122" s="13" t="n"/>
      <c r="J122" s="13" t="n"/>
      <c r="K122" s="13" t="n"/>
      <c r="L122" s="13" t="n"/>
      <c r="M122" s="13" t="n"/>
      <c r="N122" s="13" t="n"/>
      <c r="O122" s="14" t="n"/>
    </row>
    <row r="123" ht="15" customHeight="1">
      <c r="A123" s="9" t="inlineStr">
        <is>
          <t>P-02</t>
        </is>
      </c>
      <c r="B123" s="10">
        <f>IFERROR(LEFT(A123,FIND("-",A123)-1),"")</f>
        <v/>
      </c>
      <c r="C123" s="11" t="inlineStr">
        <is>
          <t>Per-level cap (WAG/MAG) - counts ROUTINES, not athletes</t>
        </is>
      </c>
      <c r="D123" s="12" t="n"/>
      <c r="E123" s="13" t="n"/>
      <c r="F123" s="13" t="n"/>
      <c r="G123" s="14" t="n"/>
      <c r="H123" s="14" t="n"/>
      <c r="I123" s="13" t="n"/>
      <c r="J123" s="13" t="n"/>
      <c r="K123" s="13" t="n"/>
      <c r="L123" s="13" t="n"/>
      <c r="M123" s="13" t="n"/>
      <c r="N123" s="13" t="n"/>
      <c r="O123" s="14" t="n"/>
    </row>
    <row r="124" ht="15" customHeight="1">
      <c r="A124" s="9" t="inlineStr">
        <is>
          <t>P-03</t>
        </is>
      </c>
      <c r="B124" s="10">
        <f>IFERROR(LEFT(A124,FIND("-",A124)-1),"")</f>
        <v/>
      </c>
      <c r="C124" s="11" t="inlineStr">
        <is>
          <t>Per-discipline cap (T&amp;T)</t>
        </is>
      </c>
      <c r="D124" s="12" t="n"/>
      <c r="E124" s="13" t="n"/>
      <c r="F124" s="13" t="n"/>
      <c r="G124" s="14" t="n"/>
      <c r="H124" s="14" t="n"/>
      <c r="I124" s="13" t="n"/>
      <c r="J124" s="13" t="n"/>
      <c r="K124" s="13" t="n"/>
      <c r="L124" s="13" t="n"/>
      <c r="M124" s="13" t="n"/>
      <c r="N124" s="13" t="n"/>
      <c r="O124" s="14" t="n"/>
    </row>
    <row r="125" ht="15" customHeight="1">
      <c r="A125" s="9" t="inlineStr">
        <is>
          <t>P-04</t>
        </is>
      </c>
      <c r="B125" s="10">
        <f>IFERROR(LEFT(A125,FIND("-",A125)-1),"")</f>
        <v/>
      </c>
      <c r="C125" s="11" t="inlineStr">
        <is>
          <t>PARTIAL FIT: 2 spots left, try to register 3</t>
        </is>
      </c>
      <c r="D125" s="12" t="n"/>
      <c r="E125" s="13" t="n"/>
      <c r="F125" s="13" t="n"/>
      <c r="G125" s="14" t="n"/>
      <c r="H125" s="14" t="n"/>
      <c r="I125" s="13" t="n"/>
      <c r="J125" s="13" t="n"/>
      <c r="K125" s="13" t="n"/>
      <c r="L125" s="13" t="n"/>
      <c r="M125" s="13" t="n"/>
      <c r="N125" s="13" t="n"/>
      <c r="O125" s="14" t="n"/>
    </row>
    <row r="126" ht="15" customHeight="1">
      <c r="A126" s="9" t="inlineStr">
        <is>
          <t>P-05</t>
        </is>
      </c>
      <c r="B126" s="10">
        <f>IFERROR(LEFT(A126,FIND("-",A126)-1),"")</f>
        <v/>
      </c>
      <c r="C126" s="11" t="inlineStr">
        <is>
          <t>Choose 'waitlist the whole group'</t>
        </is>
      </c>
      <c r="D126" s="12" t="n"/>
      <c r="E126" s="13" t="n"/>
      <c r="F126" s="13" t="n"/>
      <c r="G126" s="14" t="n"/>
      <c r="H126" s="14" t="n"/>
      <c r="I126" s="13" t="n"/>
      <c r="J126" s="13" t="n"/>
      <c r="K126" s="13" t="n"/>
      <c r="L126" s="13" t="n"/>
      <c r="M126" s="13" t="n"/>
      <c r="N126" s="13" t="n"/>
      <c r="O126" s="14" t="n"/>
    </row>
    <row r="127" ht="15" customHeight="1">
      <c r="A127" s="9" t="inlineStr">
        <is>
          <t>P-06</t>
        </is>
      </c>
      <c r="B127" s="10">
        <f>IFERROR(LEFT(A127,FIND("-",A127)-1),"")</f>
        <v/>
      </c>
      <c r="C127" s="11" t="inlineStr">
        <is>
          <t>Free up space; does the waitlist auto-notify?</t>
        </is>
      </c>
      <c r="D127" s="12" t="n"/>
      <c r="E127" s="13" t="n"/>
      <c r="F127" s="13" t="n"/>
      <c r="G127" s="14" t="n"/>
      <c r="H127" s="14" t="n"/>
      <c r="I127" s="13" t="n"/>
      <c r="J127" s="13" t="n"/>
      <c r="K127" s="13" t="n"/>
      <c r="L127" s="13" t="n"/>
      <c r="M127" s="13" t="n"/>
      <c r="N127" s="13" t="n"/>
      <c r="O127" s="14" t="n"/>
    </row>
    <row r="128" ht="15" customHeight="1">
      <c r="A128" s="9" t="inlineStr">
        <is>
          <t>P-07</t>
        </is>
      </c>
      <c r="B128" s="10">
        <f>IFERROR(LEFT(A128,FIND("-",A128)-1),"")</f>
        <v/>
      </c>
      <c r="C128" s="11" t="inlineStr">
        <is>
          <t>Admin overrides a cap for one case</t>
        </is>
      </c>
      <c r="D128" s="12" t="n"/>
      <c r="E128" s="13" t="n"/>
      <c r="F128" s="13" t="n"/>
      <c r="G128" s="14" t="n"/>
      <c r="H128" s="14" t="n"/>
      <c r="I128" s="13" t="n"/>
      <c r="J128" s="13" t="n"/>
      <c r="K128" s="13" t="n"/>
      <c r="L128" s="13" t="n"/>
      <c r="M128" s="13" t="n"/>
      <c r="N128" s="13" t="n"/>
      <c r="O128" s="14" t="n"/>
    </row>
    <row r="129" ht="15" customHeight="1">
      <c r="A129" s="9" t="inlineStr">
        <is>
          <t>P-08</t>
        </is>
      </c>
      <c r="B129" s="10">
        <f>IFERROR(LEFT(A129,FIND("-",A129)-1),"")</f>
        <v/>
      </c>
      <c r="C129" s="11" t="inlineStr">
        <is>
          <t>Switch to BY-SESSION mode; create sessions with routine caps</t>
        </is>
      </c>
      <c r="D129" s="12" t="n"/>
      <c r="E129" s="13" t="n"/>
      <c r="F129" s="13" t="n"/>
      <c r="G129" s="14" t="n"/>
      <c r="H129" s="14" t="n"/>
      <c r="I129" s="13" t="n"/>
      <c r="J129" s="13" t="n"/>
      <c r="K129" s="13" t="n"/>
      <c r="L129" s="13" t="n"/>
      <c r="M129" s="13" t="n"/>
      <c r="N129" s="13" t="n"/>
      <c r="O129" s="14" t="n"/>
    </row>
    <row r="130" ht="15" customHeight="1">
      <c r="A130" s="9" t="inlineStr">
        <is>
          <t>P-09</t>
        </is>
      </c>
      <c r="B130" s="10">
        <f>IFERROR(LEFT(A130,FIND("-",A130)-1),"")</f>
        <v/>
      </c>
      <c r="C130" s="11" t="inlineStr">
        <is>
          <t>Try to register into a FULL session</t>
        </is>
      </c>
      <c r="D130" s="12" t="n"/>
      <c r="E130" s="13" t="n"/>
      <c r="F130" s="13" t="n"/>
      <c r="G130" s="14" t="n"/>
      <c r="H130" s="14" t="n"/>
      <c r="I130" s="13" t="n"/>
      <c r="J130" s="13" t="n"/>
      <c r="K130" s="13" t="n"/>
      <c r="L130" s="13" t="n"/>
      <c r="M130" s="13" t="n"/>
      <c r="N130" s="13" t="n"/>
      <c r="O130" s="14" t="n"/>
    </row>
    <row r="131" ht="15" customHeight="1">
      <c r="A131" s="9" t="inlineStr">
        <is>
          <t>P-10</t>
        </is>
      </c>
      <c r="B131" s="10">
        <f>IFERROR(LEFT(A131,FIND("-",A131)-1),"")</f>
        <v/>
      </c>
      <c r="C131" s="11" t="inlineStr">
        <is>
          <t>Checkout when the selected session lacks space</t>
        </is>
      </c>
      <c r="D131" s="12" t="n"/>
      <c r="E131" s="13" t="n"/>
      <c r="F131" s="13" t="n"/>
      <c r="G131" s="14" t="n"/>
      <c r="H131" s="14" t="n"/>
      <c r="I131" s="13" t="n"/>
      <c r="J131" s="13" t="n"/>
      <c r="K131" s="13" t="n"/>
      <c r="L131" s="13" t="n"/>
      <c r="M131" s="13" t="n"/>
      <c r="N131" s="13" t="n"/>
      <c r="O131" s="14" t="n"/>
    </row>
    <row r="132" ht="15" customHeight="1">
      <c r="A132" s="9" t="inlineStr">
        <is>
          <t>P-11</t>
        </is>
      </c>
      <c r="B132" s="10">
        <f>IFERROR(LEFT(A132,FIND("-",A132)-1),"")</f>
        <v/>
      </c>
      <c r="C132" s="11" t="inlineStr">
        <is>
          <t>Edit a registration to move sessions</t>
        </is>
      </c>
      <c r="D132" s="12" t="n"/>
      <c r="E132" s="13" t="n"/>
      <c r="F132" s="13" t="n"/>
      <c r="G132" s="14" t="n"/>
      <c r="H132" s="14" t="n"/>
      <c r="I132" s="13" t="n"/>
      <c r="J132" s="13" t="n"/>
      <c r="K132" s="13" t="n"/>
      <c r="L132" s="13" t="n"/>
      <c r="M132" s="13" t="n"/>
      <c r="N132" s="13" t="n"/>
      <c r="O132" s="14" t="n"/>
    </row>
    <row r="133" ht="15" customHeight="1">
      <c r="A133" s="9" t="inlineStr">
        <is>
          <t>P-12</t>
        </is>
      </c>
      <c r="B133" s="10">
        <f>IFERROR(LEFT(A133,FIND("-",A133)-1),"")</f>
        <v/>
      </c>
      <c r="C133" s="11" t="inlineStr">
        <is>
          <t>Change level to one that doesn't fit the session</t>
        </is>
      </c>
      <c r="D133" s="12" t="n"/>
      <c r="E133" s="13" t="n"/>
      <c r="F133" s="13" t="n"/>
      <c r="G133" s="14" t="n"/>
      <c r="H133" s="14" t="n"/>
      <c r="I133" s="13" t="n"/>
      <c r="J133" s="13" t="n"/>
      <c r="K133" s="13" t="n"/>
      <c r="L133" s="13" t="n"/>
      <c r="M133" s="13" t="n"/>
      <c r="N133" s="13" t="n"/>
      <c r="O133" s="14" t="n"/>
    </row>
    <row r="134" ht="15" customHeight="1">
      <c r="A134" s="9" t="inlineStr">
        <is>
          <t>P-13</t>
        </is>
      </c>
      <c r="B134" s="10">
        <f>IFERROR(LEFT(A134,FIND("-",A134)-1),"")</f>
        <v/>
      </c>
      <c r="C134" s="11" t="inlineStr">
        <is>
          <t>Abandon a checkout; wait ~30 min for the soft hold to release</t>
        </is>
      </c>
      <c r="D134" s="12" t="n"/>
      <c r="E134" s="13" t="n"/>
      <c r="F134" s="13" t="n"/>
      <c r="G134" s="14" t="n"/>
      <c r="H134" s="14" t="n"/>
      <c r="I134" s="13" t="n"/>
      <c r="J134" s="13" t="n"/>
      <c r="K134" s="13" t="n"/>
      <c r="L134" s="13" t="n"/>
      <c r="M134" s="13" t="n"/>
      <c r="N134" s="13" t="n"/>
      <c r="O134" s="14" t="n"/>
    </row>
    <row r="135" ht="20" customHeight="1">
      <c r="A135" s="8" t="inlineStr">
        <is>
          <t>H  -  Sanctioning &amp; event hosting</t>
        </is>
      </c>
    </row>
    <row r="136" ht="15" customHeight="1">
      <c r="A136" s="9" t="inlineStr">
        <is>
          <t>H-01</t>
        </is>
      </c>
      <c r="B136" s="10">
        <f>IFERROR(LEFT(A136,FIND("-",A136)-1),"")</f>
        <v/>
      </c>
      <c r="C136" s="11" t="inlineStr">
        <is>
          <t>Submit a sanction request with the full field set</t>
        </is>
      </c>
      <c r="D136" s="12" t="n"/>
      <c r="E136" s="13" t="n"/>
      <c r="F136" s="13" t="n"/>
      <c r="G136" s="14" t="n"/>
      <c r="H136" s="14" t="n"/>
      <c r="I136" s="13" t="n"/>
      <c r="J136" s="13" t="n"/>
      <c r="K136" s="13" t="n"/>
      <c r="L136" s="13" t="n"/>
      <c r="M136" s="13" t="n"/>
      <c r="N136" s="13" t="n"/>
      <c r="O136" s="14" t="n"/>
    </row>
    <row r="137" ht="15" customHeight="1">
      <c r="A137" s="9" t="inlineStr">
        <is>
          <t>H-02</t>
        </is>
      </c>
      <c r="B137" s="10">
        <f>IFERROR(LEFT(A137,FIND("-",A137)-1),"")</f>
        <v/>
      </c>
      <c r="C137" s="11" t="inlineStr">
        <is>
          <t>Vote on it from the sanctioning queue</t>
        </is>
      </c>
      <c r="D137" s="12" t="n"/>
      <c r="E137" s="13" t="n"/>
      <c r="F137" s="13" t="n"/>
      <c r="G137" s="14" t="n"/>
      <c r="H137" s="14" t="n"/>
      <c r="I137" s="13" t="n"/>
      <c r="J137" s="13" t="n"/>
      <c r="K137" s="13" t="n"/>
      <c r="L137" s="13" t="n"/>
      <c r="M137" s="13" t="n"/>
      <c r="N137" s="13" t="n"/>
      <c r="O137" s="14" t="n"/>
    </row>
    <row r="138" ht="15" customHeight="1">
      <c r="A138" s="9" t="inlineStr">
        <is>
          <t>H-03</t>
        </is>
      </c>
      <c r="B138" s="10">
        <f>IFERROR(LEFT(A138,FIND("-",A138)-1),"")</f>
        <v/>
      </c>
      <c r="C138" s="11" t="inlineStr">
        <is>
          <t>Approve it (event auto-created, YYYY_ST_### id, email)</t>
        </is>
      </c>
      <c r="D138" s="12" t="n"/>
      <c r="E138" s="13" t="n"/>
      <c r="F138" s="13" t="n"/>
      <c r="G138" s="14" t="n"/>
      <c r="H138" s="14" t="n"/>
      <c r="I138" s="13" t="n"/>
      <c r="J138" s="13" t="n"/>
      <c r="K138" s="13" t="n"/>
      <c r="L138" s="13" t="n"/>
      <c r="M138" s="13" t="n"/>
      <c r="N138" s="13" t="n"/>
      <c r="O138" s="14" t="n"/>
    </row>
    <row r="139" ht="15" customHeight="1">
      <c r="A139" s="9" t="inlineStr">
        <is>
          <t>H-04</t>
        </is>
      </c>
      <c r="B139" s="10">
        <f>IFERROR(LEFT(A139,FIND("-",A139)-1),"")</f>
        <v/>
      </c>
      <c r="C139" s="11" t="inlineStr">
        <is>
          <t>Reject a different request</t>
        </is>
      </c>
      <c r="D139" s="12" t="n"/>
      <c r="E139" s="13" t="n"/>
      <c r="F139" s="13" t="n"/>
      <c r="G139" s="14" t="n"/>
      <c r="H139" s="14" t="n"/>
      <c r="I139" s="13" t="n"/>
      <c r="J139" s="13" t="n"/>
      <c r="K139" s="13" t="n"/>
      <c r="L139" s="13" t="n"/>
      <c r="M139" s="13" t="n"/>
      <c r="N139" s="13" t="n"/>
      <c r="O139" s="14" t="n"/>
    </row>
    <row r="140" ht="15" customHeight="1">
      <c r="A140" s="9" t="inlineStr">
        <is>
          <t>H-05</t>
        </is>
      </c>
      <c r="B140" s="10">
        <f>IFERROR(LEFT(A140,FIND("-",A140)-1),"")</f>
        <v/>
      </c>
      <c r="C140" s="11" t="inlineStr">
        <is>
          <t>Voting reminder emails at 3 days and 1 day before deadline</t>
        </is>
      </c>
      <c r="D140" s="12" t="n"/>
      <c r="E140" s="13" t="n"/>
      <c r="F140" s="13" t="n"/>
      <c r="G140" s="14" t="n"/>
      <c r="H140" s="14" t="n"/>
      <c r="I140" s="13" t="n"/>
      <c r="J140" s="13" t="n"/>
      <c r="K140" s="13" t="n"/>
      <c r="L140" s="13" t="n"/>
      <c r="M140" s="13" t="n"/>
      <c r="N140" s="13" t="n"/>
      <c r="O140" s="14" t="n"/>
    </row>
    <row r="141" ht="15" customHeight="1">
      <c r="A141" s="9" t="inlineStr">
        <is>
          <t>H-06</t>
        </is>
      </c>
      <c r="B141" s="10">
        <f>IFERROR(LEFT(A141,FIND("-",A141)-1),"")</f>
        <v/>
      </c>
      <c r="C141" s="11" t="inlineStr">
        <is>
          <t>Assign an event owner (unassigned = red highlight?)</t>
        </is>
      </c>
      <c r="D141" s="12" t="n"/>
      <c r="E141" s="13" t="n"/>
      <c r="F141" s="13" t="n"/>
      <c r="G141" s="14" t="n"/>
      <c r="H141" s="14" t="n"/>
      <c r="I141" s="13" t="n"/>
      <c r="J141" s="13" t="n"/>
      <c r="K141" s="13" t="n"/>
      <c r="L141" s="13" t="n"/>
      <c r="M141" s="13" t="n"/>
      <c r="N141" s="13" t="n"/>
      <c r="O141" s="14" t="n"/>
    </row>
    <row r="142" ht="15" customHeight="1">
      <c r="A142" s="9" t="inlineStr">
        <is>
          <t>H-07</t>
        </is>
      </c>
      <c r="B142" s="10">
        <f>IFERROR(LEFT(A142,FIND("-",A142)-1),"")</f>
        <v/>
      </c>
      <c r="C142" s="11" t="inlineStr">
        <is>
          <t>Event-owner checklist: all 7 items with sane due dates</t>
        </is>
      </c>
      <c r="D142" s="12" t="n"/>
      <c r="E142" s="13" t="n"/>
      <c r="F142" s="13" t="n"/>
      <c r="G142" s="14" t="n"/>
      <c r="H142" s="14" t="n"/>
      <c r="I142" s="13" t="n"/>
      <c r="J142" s="13" t="n"/>
      <c r="K142" s="13" t="n"/>
      <c r="L142" s="13" t="n"/>
      <c r="M142" s="13" t="n"/>
      <c r="N142" s="13" t="n"/>
      <c r="O142" s="14" t="n"/>
    </row>
    <row r="143" ht="15" customHeight="1">
      <c r="A143" s="9" t="inlineStr">
        <is>
          <t>H-08</t>
        </is>
      </c>
      <c r="B143" s="10">
        <f>IFERROR(LEFT(A143,FIND("-",A143)-1),"")</f>
        <v/>
      </c>
      <c r="C143" s="11" t="inlineStr">
        <is>
          <t>Let a checklist item go overdue (escalating emails?)</t>
        </is>
      </c>
      <c r="D143" s="12" t="n"/>
      <c r="E143" s="13" t="n"/>
      <c r="F143" s="13" t="n"/>
      <c r="G143" s="14" t="n"/>
      <c r="H143" s="14" t="n"/>
      <c r="I143" s="13" t="n"/>
      <c r="J143" s="13" t="n"/>
      <c r="K143" s="13" t="n"/>
      <c r="L143" s="13" t="n"/>
      <c r="M143" s="13" t="n"/>
      <c r="N143" s="13" t="n"/>
      <c r="O143" s="14" t="n"/>
    </row>
    <row r="144" ht="15" customHeight="1">
      <c r="A144" s="9" t="inlineStr">
        <is>
          <t>H-09</t>
        </is>
      </c>
      <c r="B144" s="10">
        <f>IFERROR(LEFT(A144,FIND("-",A144)-1),"")</f>
        <v/>
      </c>
      <c r="C144" s="11" t="inlineStr">
        <is>
          <t>Event wizard: fill EVERY field, save, reload</t>
        </is>
      </c>
      <c r="D144" s="12" t="n"/>
      <c r="E144" s="13" t="n"/>
      <c r="F144" s="13" t="n"/>
      <c r="G144" s="14" t="n"/>
      <c r="H144" s="14" t="n"/>
      <c r="I144" s="13" t="n"/>
      <c r="J144" s="13" t="n"/>
      <c r="K144" s="13" t="n"/>
      <c r="L144" s="13" t="n"/>
      <c r="M144" s="13" t="n"/>
      <c r="N144" s="13" t="n"/>
      <c r="O144" s="14" t="n"/>
    </row>
    <row r="145" ht="15" customHeight="1">
      <c r="A145" s="9" t="inlineStr">
        <is>
          <t>H-10</t>
        </is>
      </c>
      <c r="B145" s="10">
        <f>IFERROR(LEFT(A145,FIND("-",A145)-1),"")</f>
        <v/>
      </c>
      <c r="C145" s="11" t="inlineStr">
        <is>
          <t>Try to upload a schedule attachment (known gap - confirm)</t>
        </is>
      </c>
      <c r="D145" s="12" t="n"/>
      <c r="E145" s="13" t="n"/>
      <c r="F145" s="13" t="n"/>
      <c r="G145" s="14" t="n"/>
      <c r="H145" s="14" t="n"/>
      <c r="I145" s="13" t="n"/>
      <c r="J145" s="13" t="n"/>
      <c r="K145" s="13" t="n"/>
      <c r="L145" s="13" t="n"/>
      <c r="M145" s="13" t="n"/>
      <c r="N145" s="13" t="n"/>
      <c r="O145" s="14" t="n"/>
    </row>
    <row r="146" ht="15" customHeight="1">
      <c r="A146" s="9" t="inlineStr">
        <is>
          <t>H-11</t>
        </is>
      </c>
      <c r="B146" s="10">
        <f>IFERROR(LEFT(A146,FIND("-",A146)-1),"")</f>
        <v/>
      </c>
      <c r="C146" s="11" t="inlineStr">
        <is>
          <t>Event Host page status card</t>
        </is>
      </c>
      <c r="D146" s="12" t="n"/>
      <c r="E146" s="13" t="n"/>
      <c r="F146" s="13" t="n"/>
      <c r="G146" s="14" t="n"/>
      <c r="H146" s="14" t="n"/>
      <c r="I146" s="13" t="n"/>
      <c r="J146" s="13" t="n"/>
      <c r="K146" s="13" t="n"/>
      <c r="L146" s="13" t="n"/>
      <c r="M146" s="13" t="n"/>
      <c r="N146" s="13" t="n"/>
      <c r="O146" s="14" t="n"/>
    </row>
    <row r="147" ht="15" customHeight="1">
      <c r="A147" s="9" t="inlineStr">
        <is>
          <t>H-12</t>
        </is>
      </c>
      <c r="B147" s="10">
        <f>IFERROR(LEFT(A147,FIND("-",A147)-1),"")</f>
        <v/>
      </c>
      <c r="C147" s="11" t="inlineStr">
        <is>
          <t>Host page payment status with real paid registrations</t>
        </is>
      </c>
      <c r="D147" s="12" t="n"/>
      <c r="E147" s="13" t="n"/>
      <c r="F147" s="13" t="n"/>
      <c r="G147" s="14" t="n"/>
      <c r="H147" s="14" t="n"/>
      <c r="I147" s="13" t="n"/>
      <c r="J147" s="13" t="n"/>
      <c r="K147" s="13" t="n"/>
      <c r="L147" s="13" t="n"/>
      <c r="M147" s="13" t="n"/>
      <c r="N147" s="13" t="n"/>
      <c r="O147" s="14" t="n"/>
    </row>
    <row r="148" ht="15" customHeight="1">
      <c r="A148" s="9" t="inlineStr">
        <is>
          <t>H-13</t>
        </is>
      </c>
      <c r="B148" s="10">
        <f>IFERROR(LEFT(A148,FIND("-",A148)-1),"")</f>
        <v/>
      </c>
      <c r="C148" s="11" t="inlineStr">
        <is>
          <t>Host page registration summary (per level, clubs, apparatus)</t>
        </is>
      </c>
      <c r="D148" s="12" t="n"/>
      <c r="E148" s="13" t="n"/>
      <c r="F148" s="13" t="n"/>
      <c r="G148" s="14" t="n"/>
      <c r="H148" s="14" t="n"/>
      <c r="I148" s="13" t="n"/>
      <c r="J148" s="13" t="n"/>
      <c r="K148" s="13" t="n"/>
      <c r="L148" s="13" t="n"/>
      <c r="M148" s="13" t="n"/>
      <c r="N148" s="13" t="n"/>
      <c r="O148" s="14" t="n"/>
    </row>
    <row r="149" ht="15" customHeight="1">
      <c r="A149" s="9" t="inlineStr">
        <is>
          <t>H-14</t>
        </is>
      </c>
      <c r="B149" s="10">
        <f>IFERROR(LEFT(A149,FIND("-",A149)-1),"")</f>
        <v/>
      </c>
      <c r="C149" s="11" t="inlineStr">
        <is>
          <t>Host page Excel download - open it in Excel</t>
        </is>
      </c>
      <c r="D149" s="12" t="n"/>
      <c r="E149" s="13" t="n"/>
      <c r="F149" s="13" t="n"/>
      <c r="G149" s="14" t="n"/>
      <c r="H149" s="14" t="n"/>
      <c r="I149" s="13" t="n"/>
      <c r="J149" s="13" t="n"/>
      <c r="K149" s="13" t="n"/>
      <c r="L149" s="13" t="n"/>
      <c r="M149" s="13" t="n"/>
      <c r="N149" s="13" t="n"/>
      <c r="O149" s="14" t="n"/>
    </row>
    <row r="150" ht="15" customHeight="1">
      <c r="A150" s="9" t="inlineStr">
        <is>
          <t>H-15</t>
        </is>
      </c>
      <c r="B150" s="10">
        <f>IFERROR(LEFT(A150,FIND("-",A150)-1),"")</f>
        <v/>
      </c>
      <c r="C150" s="11" t="inlineStr">
        <is>
          <t>Event admin grant by exact account email</t>
        </is>
      </c>
      <c r="D150" s="12" t="n"/>
      <c r="E150" s="13" t="n"/>
      <c r="F150" s="13" t="n"/>
      <c r="G150" s="14" t="n"/>
      <c r="H150" s="14" t="n"/>
      <c r="I150" s="13" t="n"/>
      <c r="J150" s="13" t="n"/>
      <c r="K150" s="13" t="n"/>
      <c r="L150" s="13" t="n"/>
      <c r="M150" s="13" t="n"/>
      <c r="N150" s="13" t="n"/>
      <c r="O150" s="14" t="n"/>
    </row>
    <row r="151" ht="15" customHeight="1">
      <c r="A151" s="9" t="inlineStr">
        <is>
          <t>H-16</t>
        </is>
      </c>
      <c r="B151" s="10">
        <f>IFERROR(LEFT(A151,FIND("-",A151)-1),"")</f>
        <v/>
      </c>
      <c r="C151" s="11" t="inlineStr">
        <is>
          <t>Sign in as the granted account (that event only)</t>
        </is>
      </c>
      <c r="D151" s="12" t="n"/>
      <c r="E151" s="13" t="n"/>
      <c r="F151" s="13" t="n"/>
      <c r="G151" s="14" t="n"/>
      <c r="H151" s="14" t="n"/>
      <c r="I151" s="13" t="n"/>
      <c r="J151" s="13" t="n"/>
      <c r="K151" s="13" t="n"/>
      <c r="L151" s="13" t="n"/>
      <c r="M151" s="13" t="n"/>
      <c r="N151" s="13" t="n"/>
      <c r="O151" s="14" t="n"/>
    </row>
    <row r="152" ht="15" customHeight="1">
      <c r="A152" s="9" t="inlineStr">
        <is>
          <t>H-17</t>
        </is>
      </c>
      <c r="B152" s="10">
        <f>IFERROR(LEFT(A152,FIND("-",A152)-1),"")</f>
        <v/>
      </c>
      <c r="C152" s="11" t="inlineStr">
        <is>
          <t>Post-close host edits (with warning; never refunds/pricing)</t>
        </is>
      </c>
      <c r="D152" s="12" t="n"/>
      <c r="E152" s="13" t="n"/>
      <c r="F152" s="13" t="n"/>
      <c r="G152" s="14" t="n"/>
      <c r="H152" s="14" t="n"/>
      <c r="I152" s="13" t="n"/>
      <c r="J152" s="13" t="n"/>
      <c r="K152" s="13" t="n"/>
      <c r="L152" s="13" t="n"/>
      <c r="M152" s="13" t="n"/>
      <c r="N152" s="13" t="n"/>
      <c r="O152" s="14" t="n"/>
    </row>
    <row r="153" ht="15" customHeight="1">
      <c r="A153" s="9" t="inlineStr">
        <is>
          <t>H-18</t>
        </is>
      </c>
      <c r="B153" s="10">
        <f>IFERROR(LEFT(A153,FIND("-",A153)-1),"")</f>
        <v/>
      </c>
      <c r="C153" s="11" t="inlineStr">
        <is>
          <t>Event status transitions: draft -&gt; published -&gt; open -&gt; closed</t>
        </is>
      </c>
      <c r="D153" s="12" t="n"/>
      <c r="E153" s="13" t="n"/>
      <c r="F153" s="13" t="n"/>
      <c r="G153" s="14" t="n"/>
      <c r="H153" s="14" t="n"/>
      <c r="I153" s="13" t="n"/>
      <c r="J153" s="13" t="n"/>
      <c r="K153" s="13" t="n"/>
      <c r="L153" s="13" t="n"/>
      <c r="M153" s="13" t="n"/>
      <c r="N153" s="13" t="n"/>
      <c r="O153" s="14" t="n"/>
    </row>
    <row r="154" ht="15" customHeight="1">
      <c r="A154" s="9" t="inlineStr">
        <is>
          <t>H-19</t>
        </is>
      </c>
      <c r="B154" s="10">
        <f>IFERROR(LEFT(A154,FIND("-",A154)-1),"")</f>
        <v/>
      </c>
      <c r="C154" s="11" t="inlineStr">
        <is>
          <t>'Publish dates and location only' (no Details button)</t>
        </is>
      </c>
      <c r="D154" s="12" t="n"/>
      <c r="E154" s="13" t="n"/>
      <c r="F154" s="13" t="n"/>
      <c r="G154" s="14" t="n"/>
      <c r="H154" s="14" t="n"/>
      <c r="I154" s="13" t="n"/>
      <c r="J154" s="13" t="n"/>
      <c r="K154" s="13" t="n"/>
      <c r="L154" s="13" t="n"/>
      <c r="M154" s="13" t="n"/>
      <c r="N154" s="13" t="n"/>
      <c r="O154" s="14" t="n"/>
    </row>
    <row r="155" ht="20" customHeight="1">
      <c r="A155" s="8" t="inlineStr">
        <is>
          <t>N  -  Nationals</t>
        </is>
      </c>
    </row>
    <row r="156" ht="15" customHeight="1">
      <c r="A156" s="9" t="inlineStr">
        <is>
          <t>N-01</t>
        </is>
      </c>
      <c r="B156" s="10">
        <f>IFERROR(LEFT(A156,FIND("-",A156)-1),"")</f>
        <v/>
      </c>
      <c r="C156" s="11" t="inlineStr">
        <is>
          <t>Session-request survey: per WAG level, all MAG, all T&amp;T</t>
        </is>
      </c>
      <c r="D156" s="12" t="n"/>
      <c r="E156" s="13" t="n"/>
      <c r="F156" s="13" t="n"/>
      <c r="G156" s="14" t="n"/>
      <c r="H156" s="14" t="n"/>
      <c r="I156" s="13" t="n"/>
      <c r="J156" s="13" t="n"/>
      <c r="K156" s="13" t="n"/>
      <c r="L156" s="13" t="n"/>
      <c r="M156" s="13" t="n"/>
      <c r="N156" s="13" t="n"/>
      <c r="O156" s="14" t="n"/>
    </row>
    <row r="157" ht="15" customHeight="1">
      <c r="A157" s="9" t="inlineStr">
        <is>
          <t>N-02</t>
        </is>
      </c>
      <c r="B157" s="10">
        <f>IFERROR(LEFT(A157,FIND("-",A157)-1),"")</f>
        <v/>
      </c>
      <c r="C157" s="11" t="inlineStr">
        <is>
          <t>Try to check out the event cart with a survey unanswered</t>
        </is>
      </c>
      <c r="D157" s="12" t="n"/>
      <c r="E157" s="13" t="n"/>
      <c r="F157" s="13" t="n"/>
      <c r="G157" s="14" t="n"/>
      <c r="H157" s="14" t="n"/>
      <c r="I157" s="13" t="n"/>
      <c r="J157" s="13" t="n"/>
      <c r="K157" s="13" t="n"/>
      <c r="L157" s="13" t="n"/>
      <c r="M157" s="13" t="n"/>
      <c r="N157" s="13" t="n"/>
      <c r="O157" s="14" t="n"/>
    </row>
    <row r="158" ht="15" customHeight="1">
      <c r="A158" s="9" t="inlineStr">
        <is>
          <t>N-03</t>
        </is>
      </c>
      <c r="B158" s="10">
        <f>IFERROR(LEFT(A158,FIND("-",A158)-1),"")</f>
        <v/>
      </c>
      <c r="C158" s="11" t="inlineStr">
        <is>
          <t>Independent athlete variant of the survey</t>
        </is>
      </c>
      <c r="D158" s="12" t="n"/>
      <c r="E158" s="13" t="n"/>
      <c r="F158" s="13" t="n"/>
      <c r="G158" s="14" t="n"/>
      <c r="H158" s="14" t="n"/>
      <c r="I158" s="13" t="n"/>
      <c r="J158" s="13" t="n"/>
      <c r="K158" s="13" t="n"/>
      <c r="L158" s="13" t="n"/>
      <c r="M158" s="13" t="n"/>
      <c r="N158" s="13" t="n"/>
      <c r="O158" s="14" t="n"/>
    </row>
    <row r="159" ht="15" customHeight="1">
      <c r="A159" s="9" t="inlineStr">
        <is>
          <t>N-04</t>
        </is>
      </c>
      <c r="B159" s="10">
        <f>IFERROR(LEFT(A159,FIND("-",A159)-1),"")</f>
        <v/>
      </c>
      <c r="C159" s="11" t="inlineStr">
        <is>
          <t>Edit a survey answer before the change deadline</t>
        </is>
      </c>
      <c r="D159" s="12" t="n"/>
      <c r="E159" s="13" t="n"/>
      <c r="F159" s="13" t="n"/>
      <c r="G159" s="14" t="n"/>
      <c r="H159" s="14" t="n"/>
      <c r="I159" s="13" t="n"/>
      <c r="J159" s="13" t="n"/>
      <c r="K159" s="13" t="n"/>
      <c r="L159" s="13" t="n"/>
      <c r="M159" s="13" t="n"/>
      <c r="N159" s="13" t="n"/>
      <c r="O159" s="14" t="n"/>
    </row>
    <row r="160" ht="15" customHeight="1">
      <c r="A160" s="9" t="inlineStr">
        <is>
          <t>N-05</t>
        </is>
      </c>
      <c r="B160" s="10">
        <f>IFERROR(LEFT(A160,FIND("-",A160)-1),"")</f>
        <v/>
      </c>
      <c r="C160" s="11" t="inlineStr">
        <is>
          <t>Eligible teams table (&gt;=3 athletes per apparatus)</t>
        </is>
      </c>
      <c r="D160" s="12" t="n"/>
      <c r="E160" s="13" t="n"/>
      <c r="F160" s="13" t="n"/>
      <c r="G160" s="14" t="n"/>
      <c r="H160" s="14" t="n"/>
      <c r="I160" s="13" t="n"/>
      <c r="J160" s="13" t="n"/>
      <c r="K160" s="13" t="n"/>
      <c r="L160" s="13" t="n"/>
      <c r="M160" s="13" t="n"/>
      <c r="N160" s="13" t="n"/>
      <c r="O160" s="14" t="n"/>
    </row>
    <row r="161" ht="15" customHeight="1">
      <c r="A161" s="9" t="inlineStr">
        <is>
          <t>N-06</t>
        </is>
      </c>
      <c r="B161" s="10">
        <f>IFERROR(LEFT(A161,FIND("-",A161)-1),"")</f>
        <v/>
      </c>
      <c r="C161" s="11" t="inlineStr">
        <is>
          <t>Placement categories vs the gender/override/student matrix</t>
        </is>
      </c>
      <c r="D161" s="12" t="n"/>
      <c r="E161" s="13" t="n"/>
      <c r="F161" s="13" t="n"/>
      <c r="G161" s="14" t="n"/>
      <c r="H161" s="14" t="n"/>
      <c r="I161" s="13" t="n"/>
      <c r="J161" s="13" t="n"/>
      <c r="K161" s="13" t="n"/>
      <c r="L161" s="13" t="n"/>
      <c r="M161" s="13" t="n"/>
      <c r="N161" s="13" t="n"/>
      <c r="O161" s="14" t="n"/>
    </row>
    <row r="162" ht="15" customHeight="1">
      <c r="A162" s="9" t="inlineStr">
        <is>
          <t>N-07</t>
        </is>
      </c>
      <c r="B162" s="10">
        <f>IFERROR(LEFT(A162,FIND("-",A162)-1),"")</f>
        <v/>
      </c>
      <c r="C162" s="11" t="inlineStr">
        <is>
          <t>Finals lineup editor: pick 4 per apparatus, drag to order</t>
        </is>
      </c>
      <c r="D162" s="12" t="n"/>
      <c r="E162" s="13" t="n"/>
      <c r="F162" s="13" t="n"/>
      <c r="G162" s="14" t="n"/>
      <c r="H162" s="14" t="n"/>
      <c r="I162" s="13" t="n"/>
      <c r="J162" s="13" t="n"/>
      <c r="K162" s="13" t="n"/>
      <c r="L162" s="13" t="n"/>
      <c r="M162" s="13" t="n"/>
      <c r="N162" s="13" t="n"/>
      <c r="O162" s="14" t="n"/>
    </row>
    <row r="163" ht="15" customHeight="1">
      <c r="A163" s="9" t="inlineStr">
        <is>
          <t>N-08</t>
        </is>
      </c>
      <c r="B163" s="10">
        <f>IFERROR(LEFT(A163,FIND("-",A163)-1),"")</f>
        <v/>
      </c>
      <c r="C163" s="11" t="inlineStr">
        <is>
          <t>finals_lineup_deadline_at nag as the deadline approaches</t>
        </is>
      </c>
      <c r="D163" s="12" t="n"/>
      <c r="E163" s="13" t="n"/>
      <c r="F163" s="13" t="n"/>
      <c r="G163" s="14" t="n"/>
      <c r="H163" s="14" t="n"/>
      <c r="I163" s="13" t="n"/>
      <c r="J163" s="13" t="n"/>
      <c r="K163" s="13" t="n"/>
      <c r="L163" s="13" t="n"/>
      <c r="M163" s="13" t="n"/>
      <c r="N163" s="13" t="n"/>
      <c r="O163" s="14" t="n"/>
    </row>
    <row r="164" ht="15" customHeight="1">
      <c r="A164" s="9" t="inlineStr">
        <is>
          <t>N-09</t>
        </is>
      </c>
      <c r="B164" s="10">
        <f>IFERROR(LEFT(A164,FIND("-",A164)-1),"")</f>
        <v/>
      </c>
      <c r="C164" s="11" t="inlineStr">
        <is>
          <t>10pm hard lock (clubs view-only, admins can edit)</t>
        </is>
      </c>
      <c r="D164" s="12" t="n"/>
      <c r="E164" s="13" t="n"/>
      <c r="F164" s="13" t="n"/>
      <c r="G164" s="14" t="n"/>
      <c r="H164" s="14" t="n"/>
      <c r="I164" s="13" t="n"/>
      <c r="J164" s="13" t="n"/>
      <c r="K164" s="13" t="n"/>
      <c r="L164" s="13" t="n"/>
      <c r="M164" s="13" t="n"/>
      <c r="N164" s="13" t="n"/>
      <c r="O164" s="14" t="n"/>
    </row>
    <row r="165" ht="15" customHeight="1">
      <c r="A165" s="9" t="inlineStr">
        <is>
          <t>N-10</t>
        </is>
      </c>
      <c r="B165" s="10">
        <f>IFERROR(LEFT(A165,FIND("-",A165)-1),"")</f>
        <v/>
      </c>
      <c r="C165" s="11" t="inlineStr">
        <is>
          <t>Decathlon / omnithon summary</t>
        </is>
      </c>
      <c r="D165" s="12" t="n"/>
      <c r="E165" s="13" t="n"/>
      <c r="F165" s="13" t="n"/>
      <c r="G165" s="14" t="n"/>
      <c r="H165" s="14" t="n"/>
      <c r="I165" s="13" t="n"/>
      <c r="J165" s="13" t="n"/>
      <c r="K165" s="13" t="n"/>
      <c r="L165" s="13" t="n"/>
      <c r="M165" s="13" t="n"/>
      <c r="N165" s="13" t="n"/>
      <c r="O165" s="14" t="n"/>
    </row>
    <row r="166" ht="15" customHeight="1">
      <c r="A166" s="9" t="inlineStr">
        <is>
          <t>N-11</t>
        </is>
      </c>
      <c r="B166" s="10">
        <f>IFERROR(LEFT(A166,FIND("-",A166)-1),"")</f>
        <v/>
      </c>
      <c r="C166" s="11" t="inlineStr">
        <is>
          <t>Club coach list (+ warning when a club has none)</t>
        </is>
      </c>
      <c r="D166" s="12" t="n"/>
      <c r="E166" s="13" t="n"/>
      <c r="F166" s="13" t="n"/>
      <c r="G166" s="14" t="n"/>
      <c r="H166" s="14" t="n"/>
      <c r="I166" s="13" t="n"/>
      <c r="J166" s="13" t="n"/>
      <c r="K166" s="13" t="n"/>
      <c r="L166" s="13" t="n"/>
      <c r="M166" s="13" t="n"/>
      <c r="N166" s="13" t="n"/>
      <c r="O166" s="14" t="n"/>
    </row>
    <row r="167" ht="15" customHeight="1">
      <c r="A167" s="9" t="inlineStr">
        <is>
          <t>N-12</t>
        </is>
      </c>
      <c r="B167" s="10">
        <f>IFERROR(LEFT(A167,FIND("-",A167)-1),"")</f>
        <v/>
      </c>
      <c r="C167" s="11" t="inlineStr">
        <is>
          <t>Banquet-ticket gap list</t>
        </is>
      </c>
      <c r="D167" s="12" t="n"/>
      <c r="E167" s="13" t="n"/>
      <c r="F167" s="13" t="n"/>
      <c r="G167" s="14" t="n"/>
      <c r="H167" s="14" t="n"/>
      <c r="I167" s="13" t="n"/>
      <c r="J167" s="13" t="n"/>
      <c r="K167" s="13" t="n"/>
      <c r="L167" s="13" t="n"/>
      <c r="M167" s="13" t="n"/>
      <c r="N167" s="13" t="n"/>
      <c r="O167" s="14" t="n"/>
    </row>
    <row r="168" ht="15" customHeight="1">
      <c r="A168" s="9" t="inlineStr">
        <is>
          <t>N-13</t>
        </is>
      </c>
      <c r="B168" s="10">
        <f>IFERROR(LEFT(A168,FIND("-",A168)-1),"")</f>
        <v/>
      </c>
      <c r="C168" s="11" t="inlineStr">
        <is>
          <t>Assigned-sessions table, incl. '(partial)'</t>
        </is>
      </c>
      <c r="D168" s="12" t="n"/>
      <c r="E168" s="13" t="n"/>
      <c r="F168" s="13" t="n"/>
      <c r="G168" s="14" t="n"/>
      <c r="H168" s="14" t="n"/>
      <c r="I168" s="13" t="n"/>
      <c r="J168" s="13" t="n"/>
      <c r="K168" s="13" t="n"/>
      <c r="L168" s="13" t="n"/>
      <c r="M168" s="13" t="n"/>
      <c r="N168" s="13" t="n"/>
      <c r="O168" s="14" t="n"/>
    </row>
    <row r="169" ht="15" customHeight="1">
      <c r="A169" s="9" t="inlineStr">
        <is>
          <t>N-14</t>
        </is>
      </c>
      <c r="B169" s="10">
        <f>IFERROR(LEFT(A169,FIND("-",A169)-1),"")</f>
        <v/>
      </c>
      <c r="C169" s="11" t="inlineStr">
        <is>
          <t>Check-in flow end to end</t>
        </is>
      </c>
      <c r="D169" s="12" t="n"/>
      <c r="E169" s="13" t="n"/>
      <c r="F169" s="13" t="n"/>
      <c r="G169" s="14" t="n"/>
      <c r="H169" s="14" t="n"/>
      <c r="I169" s="13" t="n"/>
      <c r="J169" s="13" t="n"/>
      <c r="K169" s="13" t="n"/>
      <c r="L169" s="13" t="n"/>
      <c r="M169" s="13" t="n"/>
      <c r="N169" s="13" t="n"/>
      <c r="O169" s="14" t="n"/>
    </row>
    <row r="170" ht="15" customHeight="1">
      <c r="A170" s="9" t="inlineStr">
        <is>
          <t>N-15</t>
        </is>
      </c>
      <c r="B170" s="10">
        <f>IFERROR(LEFT(A170,FIND("-",A170)-1),"")</f>
        <v/>
      </c>
      <c r="C170" s="11" t="inlineStr">
        <is>
          <t>Check-in page athlete count = athlete-gift count</t>
        </is>
      </c>
      <c r="D170" s="12" t="n"/>
      <c r="E170" s="13" t="n"/>
      <c r="F170" s="13" t="n"/>
      <c r="G170" s="14" t="n"/>
      <c r="H170" s="14" t="n"/>
      <c r="I170" s="13" t="n"/>
      <c r="J170" s="13" t="n"/>
      <c r="K170" s="13" t="n"/>
      <c r="L170" s="13" t="n"/>
      <c r="M170" s="13" t="n"/>
      <c r="N170" s="13" t="n"/>
      <c r="O170" s="14" t="n"/>
    </row>
    <row r="171" ht="15" customHeight="1">
      <c r="A171" s="9" t="inlineStr">
        <is>
          <t>N-16</t>
        </is>
      </c>
      <c r="B171" s="10">
        <f>IFERROR(LEFT(A171,FIND("-",A171)-1),"")</f>
        <v/>
      </c>
      <c r="C171" s="11" t="inlineStr">
        <is>
          <t>Admin views the check-in page AS another club / athlete</t>
        </is>
      </c>
      <c r="D171" s="12" t="n"/>
      <c r="E171" s="13" t="n"/>
      <c r="F171" s="13" t="n"/>
      <c r="G171" s="14" t="n"/>
      <c r="H171" s="14" t="n"/>
      <c r="I171" s="13" t="n"/>
      <c r="J171" s="13" t="n"/>
      <c r="K171" s="13" t="n"/>
      <c r="L171" s="13" t="n"/>
      <c r="M171" s="13" t="n"/>
      <c r="N171" s="13" t="n"/>
      <c r="O171" s="14" t="n"/>
    </row>
    <row r="172" ht="15" customHeight="1">
      <c r="A172" s="9" t="inlineStr">
        <is>
          <t>N-17</t>
        </is>
      </c>
      <c r="B172" s="10">
        <f>IFERROR(LEFT(A172,FIND("-",A172)-1),"")</f>
        <v/>
      </c>
      <c r="C172" s="11" t="inlineStr">
        <is>
          <t>Nationals scoring: quals + awards; check one placement by hand</t>
        </is>
      </c>
      <c r="D172" s="12" t="n"/>
      <c r="E172" s="13" t="n"/>
      <c r="F172" s="13" t="n"/>
      <c r="G172" s="14" t="n"/>
      <c r="H172" s="14" t="n"/>
      <c r="I172" s="13" t="n"/>
      <c r="J172" s="13" t="n"/>
      <c r="K172" s="13" t="n"/>
      <c r="L172" s="13" t="n"/>
      <c r="M172" s="13" t="n"/>
      <c r="N172" s="13" t="n"/>
      <c r="O172" s="14" t="n"/>
    </row>
    <row r="173" ht="20" customHeight="1">
      <c r="A173" s="8" t="inlineStr">
        <is>
          <t>R  -  Refunds</t>
        </is>
      </c>
    </row>
    <row r="174" ht="15" customHeight="1">
      <c r="A174" s="9" t="inlineStr">
        <is>
          <t>R-01</t>
        </is>
      </c>
      <c r="B174" s="10">
        <f>IFERROR(LEFT(A174,FIND("-",A174)-1),"")</f>
        <v/>
      </c>
      <c r="C174" s="11" t="inlineStr">
        <is>
          <t>Request a refund on a NON-UCG-hosted event (should be unavailable)</t>
        </is>
      </c>
      <c r="D174" s="12" t="n"/>
      <c r="E174" s="13" t="n"/>
      <c r="F174" s="13" t="n"/>
      <c r="G174" s="14" t="n"/>
      <c r="H174" s="14" t="n"/>
      <c r="I174" s="13" t="n"/>
      <c r="J174" s="13" t="n"/>
      <c r="K174" s="13" t="n"/>
      <c r="L174" s="13" t="n"/>
      <c r="M174" s="13" t="n"/>
      <c r="N174" s="13" t="n"/>
      <c r="O174" s="14" t="n"/>
    </row>
    <row r="175" ht="15" customHeight="1">
      <c r="A175" s="9" t="inlineStr">
        <is>
          <t>R-02</t>
        </is>
      </c>
      <c r="B175" s="10">
        <f>IFERROR(LEFT(A175,FIND("-",A175)-1),"")</f>
        <v/>
      </c>
      <c r="C175" s="11" t="inlineStr">
        <is>
          <t>Request one on a UCG-hosted event BEFORE lastDateToEdit</t>
        </is>
      </c>
      <c r="D175" s="12" t="n"/>
      <c r="E175" s="13" t="n"/>
      <c r="F175" s="13" t="n"/>
      <c r="G175" s="14" t="n"/>
      <c r="H175" s="14" t="n"/>
      <c r="I175" s="13" t="n"/>
      <c r="J175" s="13" t="n"/>
      <c r="K175" s="13" t="n"/>
      <c r="L175" s="13" t="n"/>
      <c r="M175" s="13" t="n"/>
      <c r="N175" s="13" t="n"/>
      <c r="O175" s="14" t="n"/>
    </row>
    <row r="176" ht="15" customHeight="1">
      <c r="A176" s="9" t="inlineStr">
        <is>
          <t>R-03</t>
        </is>
      </c>
      <c r="B176" s="10">
        <f>IFERROR(LEFT(A176,FIND("-",A176)-1),"")</f>
        <v/>
      </c>
      <c r="C176" s="11" t="inlineStr">
        <is>
          <t>Approve it (full refund, registration removed, receipt)</t>
        </is>
      </c>
      <c r="D176" s="12" t="n"/>
      <c r="E176" s="13" t="n"/>
      <c r="F176" s="13" t="n"/>
      <c r="G176" s="14" t="n"/>
      <c r="H176" s="14" t="n"/>
      <c r="I176" s="13" t="n"/>
      <c r="J176" s="13" t="n"/>
      <c r="K176" s="13" t="n"/>
      <c r="L176" s="13" t="n"/>
      <c r="M176" s="13" t="n"/>
      <c r="N176" s="13" t="n"/>
      <c r="O176" s="14" t="n"/>
    </row>
    <row r="177" ht="15" customHeight="1">
      <c r="A177" s="9" t="inlineStr">
        <is>
          <t>R-04</t>
        </is>
      </c>
      <c r="B177" s="10">
        <f>IFERROR(LEFT(A177,FIND("-",A177)-1),"")</f>
        <v/>
      </c>
      <c r="C177" s="11" t="inlineStr">
        <is>
          <t>Verify the refund in the Stripe Dashboard</t>
        </is>
      </c>
      <c r="D177" s="12" t="n"/>
      <c r="E177" s="13" t="n"/>
      <c r="F177" s="13" t="n"/>
      <c r="G177" s="14" t="n"/>
      <c r="H177" s="14" t="n"/>
      <c r="I177" s="13" t="n"/>
      <c r="J177" s="13" t="n"/>
      <c r="K177" s="13" t="n"/>
      <c r="L177" s="13" t="n"/>
      <c r="M177" s="13" t="n"/>
      <c r="N177" s="13" t="n"/>
      <c r="O177" s="14" t="n"/>
    </row>
    <row r="178" ht="15" customHeight="1">
      <c r="A178" s="9" t="inlineStr">
        <is>
          <t>R-05</t>
        </is>
      </c>
      <c r="B178" s="10">
        <f>IFERROR(LEFT(A178,FIND("-",A178)-1),"")</f>
        <v/>
      </c>
      <c r="C178" s="11" t="inlineStr">
        <is>
          <t>Request + approve one AFTER lastDateToEdit (75% before fees)</t>
        </is>
      </c>
      <c r="D178" s="12" t="n"/>
      <c r="E178" s="13" t="n"/>
      <c r="F178" s="13" t="n"/>
      <c r="G178" s="14" t="n"/>
      <c r="H178" s="14" t="n"/>
      <c r="I178" s="13" t="n"/>
      <c r="J178" s="13" t="n"/>
      <c r="K178" s="13" t="n"/>
      <c r="L178" s="13" t="n"/>
      <c r="M178" s="13" t="n"/>
      <c r="N178" s="13" t="n"/>
      <c r="O178" s="14" t="n"/>
    </row>
    <row r="179" ht="15" customHeight="1">
      <c r="A179" s="9" t="inlineStr">
        <is>
          <t>R-06</t>
        </is>
      </c>
      <c r="B179" s="10">
        <f>IFERROR(LEFT(A179,FIND("-",A179)-1),"")</f>
        <v/>
      </c>
      <c r="C179" s="11" t="inlineStr">
        <is>
          <t>After-deadline athlete: apparatus unchecked + un-recheckable</t>
        </is>
      </c>
      <c r="D179" s="12" t="n"/>
      <c r="E179" s="13" t="n"/>
      <c r="F179" s="13" t="n"/>
      <c r="G179" s="14" t="n"/>
      <c r="H179" s="14" t="n"/>
      <c r="I179" s="13" t="n"/>
      <c r="J179" s="13" t="n"/>
      <c r="K179" s="13" t="n"/>
      <c r="L179" s="13" t="n"/>
      <c r="M179" s="13" t="n"/>
      <c r="N179" s="13" t="n"/>
      <c r="O179" s="14" t="n"/>
    </row>
    <row r="180" ht="15" customHeight="1">
      <c r="A180" s="9" t="inlineStr">
        <is>
          <t>R-07</t>
        </is>
      </c>
      <c r="B180" s="10">
        <f>IFERROR(LEFT(A180,FIND("-",A180)-1),"")</f>
        <v/>
      </c>
      <c r="C180" s="11" t="inlineStr">
        <is>
          <t>REJECT a request (email, refund admins cc'd, no reg change)</t>
        </is>
      </c>
      <c r="D180" s="12" t="n"/>
      <c r="E180" s="13" t="n"/>
      <c r="F180" s="13" t="n"/>
      <c r="G180" s="14" t="n"/>
      <c r="H180" s="14" t="n"/>
      <c r="I180" s="13" t="n"/>
      <c r="J180" s="13" t="n"/>
      <c r="K180" s="13" t="n"/>
      <c r="L180" s="13" t="n"/>
      <c r="M180" s="13" t="n"/>
      <c r="N180" s="13" t="n"/>
      <c r="O180" s="14" t="n"/>
    </row>
    <row r="181" ht="15" customHeight="1">
      <c r="A181" s="9" t="inlineStr">
        <is>
          <t>R-08</t>
        </is>
      </c>
      <c r="B181" s="10">
        <f>IFERROR(LEFT(A181,FIND("-",A181)-1),"")</f>
        <v/>
      </c>
      <c r="C181" s="11" t="inlineStr">
        <is>
          <t>Refund a single banquet ticket</t>
        </is>
      </c>
      <c r="D181" s="12" t="n"/>
      <c r="E181" s="13" t="n"/>
      <c r="F181" s="13" t="n"/>
      <c r="G181" s="14" t="n"/>
      <c r="H181" s="14" t="n"/>
      <c r="I181" s="13" t="n"/>
      <c r="J181" s="13" t="n"/>
      <c r="K181" s="13" t="n"/>
      <c r="L181" s="13" t="n"/>
      <c r="M181" s="13" t="n"/>
      <c r="N181" s="13" t="n"/>
      <c r="O181" s="14" t="n"/>
    </row>
    <row r="182" ht="15" customHeight="1">
      <c r="A182" s="9" t="inlineStr">
        <is>
          <t>R-09</t>
        </is>
      </c>
      <c r="B182" s="10">
        <f>IFERROR(LEFT(A182,FIND("-",A182)-1),"")</f>
        <v/>
      </c>
      <c r="C182" s="11" t="inlineStr">
        <is>
          <t>Move a banquet ticket to another athlete / mark EXTRA</t>
        </is>
      </c>
      <c r="D182" s="12" t="n"/>
      <c r="E182" s="13" t="n"/>
      <c r="F182" s="13" t="n"/>
      <c r="G182" s="14" t="n"/>
      <c r="H182" s="14" t="n"/>
      <c r="I182" s="13" t="n"/>
      <c r="J182" s="13" t="n"/>
      <c r="K182" s="13" t="n"/>
      <c r="L182" s="13" t="n"/>
      <c r="M182" s="13" t="n"/>
      <c r="N182" s="13" t="n"/>
      <c r="O182" s="14" t="n"/>
    </row>
    <row r="183" ht="15" customHeight="1">
      <c r="A183" s="9" t="inlineStr">
        <is>
          <t>R-10</t>
        </is>
      </c>
      <c r="B183" s="10">
        <f>IFERROR(LEFT(A183,FIND("-",A183)-1),"")</f>
        <v/>
      </c>
      <c r="C183" s="11" t="inlineStr">
        <is>
          <t>Refund one add-on; confirm the ORIGINAL receipt is undisturbed</t>
        </is>
      </c>
      <c r="D183" s="12" t="n"/>
      <c r="E183" s="13" t="n"/>
      <c r="F183" s="13" t="n"/>
      <c r="G183" s="14" t="n"/>
      <c r="H183" s="14" t="n"/>
      <c r="I183" s="13" t="n"/>
      <c r="J183" s="13" t="n"/>
      <c r="K183" s="13" t="n"/>
      <c r="L183" s="13" t="n"/>
      <c r="M183" s="13" t="n"/>
      <c r="N183" s="13" t="n"/>
      <c r="O183" s="14" t="n"/>
    </row>
    <row r="184" ht="15" customHeight="1">
      <c r="A184" s="9" t="inlineStr">
        <is>
          <t>R-11</t>
        </is>
      </c>
      <c r="B184" s="10">
        <f>IFERROR(LEFT(A184,FIND("-",A184)-1),"")</f>
        <v/>
      </c>
      <c r="C184" s="11" t="inlineStr">
        <is>
          <t>Refund a CLUB-PAID registration (refunds to the club)</t>
        </is>
      </c>
      <c r="D184" s="12" t="n"/>
      <c r="E184" s="13" t="n"/>
      <c r="F184" s="13" t="n"/>
      <c r="G184" s="14" t="n"/>
      <c r="H184" s="14" t="n"/>
      <c r="I184" s="13" t="n"/>
      <c r="J184" s="13" t="n"/>
      <c r="K184" s="13" t="n"/>
      <c r="L184" s="13" t="n"/>
      <c r="M184" s="13" t="n"/>
      <c r="N184" s="13" t="n"/>
      <c r="O184" s="14" t="n"/>
    </row>
    <row r="185" ht="15" customHeight="1">
      <c r="A185" s="9" t="inlineStr">
        <is>
          <t>R-12</t>
        </is>
      </c>
      <c r="B185" s="10">
        <f>IFERROR(LEFT(A185,FIND("-",A185)-1),"")</f>
        <v/>
      </c>
      <c r="C185" s="11" t="inlineStr">
        <is>
          <t>Refund an order a coupon covered 100%</t>
        </is>
      </c>
      <c r="D185" s="12" t="n"/>
      <c r="E185" s="13" t="n"/>
      <c r="F185" s="13" t="n"/>
      <c r="G185" s="14" t="n"/>
      <c r="H185" s="14" t="n"/>
      <c r="I185" s="13" t="n"/>
      <c r="J185" s="13" t="n"/>
      <c r="K185" s="13" t="n"/>
      <c r="L185" s="13" t="n"/>
      <c r="M185" s="13" t="n"/>
      <c r="N185" s="13" t="n"/>
      <c r="O185" s="14" t="n"/>
    </row>
    <row r="186" ht="15" customHeight="1">
      <c r="A186" s="9" t="inlineStr">
        <is>
          <t>R-13</t>
        </is>
      </c>
      <c r="B186" s="10">
        <f>IFERROR(LEFT(A186,FIND("-",A186)-1),"")</f>
        <v/>
      </c>
      <c r="C186" s="11" t="inlineStr">
        <is>
          <t>Request more than remains refundable</t>
        </is>
      </c>
      <c r="D186" s="12" t="n"/>
      <c r="E186" s="13" t="n"/>
      <c r="F186" s="13" t="n"/>
      <c r="G186" s="14" t="n"/>
      <c r="H186" s="14" t="n"/>
      <c r="I186" s="13" t="n"/>
      <c r="J186" s="13" t="n"/>
      <c r="K186" s="13" t="n"/>
      <c r="L186" s="13" t="n"/>
      <c r="M186" s="13" t="n"/>
      <c r="N186" s="13" t="n"/>
      <c r="O186" s="14" t="n"/>
    </row>
    <row r="187" ht="15" customHeight="1">
      <c r="A187" s="9" t="inlineStr">
        <is>
          <t>R-14</t>
        </is>
      </c>
      <c r="B187" s="10">
        <f>IFERROR(LEFT(A187,FIND("-",A187)-1),"")</f>
        <v/>
      </c>
      <c r="C187" s="11" t="inlineStr">
        <is>
          <t>#/admin/finance reflects every refund above</t>
        </is>
      </c>
      <c r="D187" s="12" t="n"/>
      <c r="E187" s="13" t="n"/>
      <c r="F187" s="13" t="n"/>
      <c r="G187" s="14" t="n"/>
      <c r="H187" s="14" t="n"/>
      <c r="I187" s="13" t="n"/>
      <c r="J187" s="13" t="n"/>
      <c r="K187" s="13" t="n"/>
      <c r="L187" s="13" t="n"/>
      <c r="M187" s="13" t="n"/>
      <c r="N187" s="13" t="n"/>
      <c r="O187" s="14" t="n"/>
    </row>
    <row r="188" ht="20" customHeight="1">
      <c r="A188" s="8" t="inlineStr">
        <is>
          <t>F  -  Finance &amp; admin</t>
        </is>
      </c>
    </row>
    <row r="189" ht="15" customHeight="1">
      <c r="A189" s="9" t="inlineStr">
        <is>
          <t>F-01</t>
        </is>
      </c>
      <c r="B189" s="10">
        <f>IFERROR(LEFT(A189,FIND("-",A189)-1),"")</f>
        <v/>
      </c>
      <c r="C189" s="11" t="inlineStr">
        <is>
          <t>Julia opens #/admin/finance as finance_admin (NOT admin)</t>
        </is>
      </c>
      <c r="D189" s="12" t="n"/>
      <c r="E189" s="13" t="n"/>
      <c r="F189" s="13" t="n"/>
      <c r="G189" s="14" t="n"/>
      <c r="H189" s="14" t="n"/>
      <c r="I189" s="13" t="n"/>
      <c r="J189" s="13" t="n"/>
      <c r="K189" s="13" t="n"/>
      <c r="L189" s="13" t="n"/>
      <c r="M189" s="13" t="n"/>
      <c r="N189" s="13" t="n"/>
      <c r="O189" s="14" t="n"/>
    </row>
    <row r="190" ht="15" customHeight="1">
      <c r="A190" s="9" t="inlineStr">
        <is>
          <t>F-02</t>
        </is>
      </c>
      <c r="B190" s="10">
        <f>IFERROR(LEFT(A190,FIND("-",A190)-1),"")</f>
        <v/>
      </c>
      <c r="C190" s="11" t="inlineStr">
        <is>
          <t>Summary tab: revenue types with accounting codes</t>
        </is>
      </c>
      <c r="D190" s="12" t="n"/>
      <c r="E190" s="13" t="n"/>
      <c r="F190" s="13" t="n"/>
      <c r="G190" s="14" t="n"/>
      <c r="H190" s="14" t="n"/>
      <c r="I190" s="13" t="n"/>
      <c r="J190" s="13" t="n"/>
      <c r="K190" s="13" t="n"/>
      <c r="L190" s="13" t="n"/>
      <c r="M190" s="13" t="n"/>
      <c r="N190" s="13" t="n"/>
      <c r="O190" s="14" t="n"/>
    </row>
    <row r="191" ht="15" customHeight="1">
      <c r="A191" s="9" t="inlineStr">
        <is>
          <t>F-03</t>
        </is>
      </c>
      <c r="B191" s="10">
        <f>IFERROR(LEFT(A191,FIND("-",A191)-1),"")</f>
        <v/>
      </c>
      <c r="C191" s="11" t="inlineStr">
        <is>
          <t>Check the arithmetic by hand vs Stripe for one day</t>
        </is>
      </c>
      <c r="D191" s="12" t="n"/>
      <c r="E191" s="13" t="n"/>
      <c r="F191" s="13" t="n"/>
      <c r="G191" s="14" t="n"/>
      <c r="H191" s="14" t="n"/>
      <c r="I191" s="13" t="n"/>
      <c r="J191" s="13" t="n"/>
      <c r="K191" s="13" t="n"/>
      <c r="L191" s="13" t="n"/>
      <c r="M191" s="13" t="n"/>
      <c r="N191" s="13" t="n"/>
      <c r="O191" s="14" t="n"/>
    </row>
    <row r="192" ht="15" customHeight="1">
      <c r="A192" s="9" t="inlineStr">
        <is>
          <t>F-04</t>
        </is>
      </c>
      <c r="B192" s="10">
        <f>IFERROR(LEFT(A192,FIND("-",A192)-1),"")</f>
        <v/>
      </c>
      <c r="C192" s="11" t="inlineStr">
        <is>
          <t>Date-range filter, incl. the smart defaults</t>
        </is>
      </c>
      <c r="D192" s="12" t="n"/>
      <c r="E192" s="13" t="n"/>
      <c r="F192" s="13" t="n"/>
      <c r="G192" s="14" t="n"/>
      <c r="H192" s="14" t="n"/>
      <c r="I192" s="13" t="n"/>
      <c r="J192" s="13" t="n"/>
      <c r="K192" s="13" t="n"/>
      <c r="L192" s="13" t="n"/>
      <c r="M192" s="13" t="n"/>
      <c r="N192" s="13" t="n"/>
      <c r="O192" s="14" t="n"/>
    </row>
    <row r="193" ht="15" customHeight="1">
      <c r="A193" s="9" t="inlineStr">
        <is>
          <t>F-05</t>
        </is>
      </c>
      <c r="B193" s="10">
        <f>IFERROR(LEFT(A193,FIND("-",A193)-1),"")</f>
        <v/>
      </c>
      <c r="C193" s="11" t="inlineStr">
        <is>
          <t>Per-event finance dashboard</t>
        </is>
      </c>
      <c r="D193" s="12" t="n"/>
      <c r="E193" s="13" t="n"/>
      <c r="F193" s="13" t="n"/>
      <c r="G193" s="14" t="n"/>
      <c r="H193" s="14" t="n"/>
      <c r="I193" s="13" t="n"/>
      <c r="J193" s="13" t="n"/>
      <c r="K193" s="13" t="n"/>
      <c r="L193" s="13" t="n"/>
      <c r="M193" s="13" t="n"/>
      <c r="N193" s="13" t="n"/>
      <c r="O193" s="14" t="n"/>
    </row>
    <row r="194" ht="15" customHeight="1">
      <c r="A194" s="9" t="inlineStr">
        <is>
          <t>F-06</t>
        </is>
      </c>
      <c r="B194" s="10">
        <f>IFERROR(LEFT(A194,FIND("-",A194)-1),"")</f>
        <v/>
      </c>
      <c r="C194" s="11" t="inlineStr">
        <is>
          <t>Host payout: amount owed + the calculation shown</t>
        </is>
      </c>
      <c r="D194" s="12" t="n"/>
      <c r="E194" s="13" t="n"/>
      <c r="F194" s="13" t="n"/>
      <c r="G194" s="14" t="n"/>
      <c r="H194" s="14" t="n"/>
      <c r="I194" s="13" t="n"/>
      <c r="J194" s="13" t="n"/>
      <c r="K194" s="13" t="n"/>
      <c r="L194" s="13" t="n"/>
      <c r="M194" s="13" t="n"/>
      <c r="N194" s="13" t="n"/>
      <c r="O194" s="14" t="n"/>
    </row>
    <row r="195" ht="15" customHeight="1">
      <c r="A195" s="9" t="inlineStr">
        <is>
          <t>F-07</t>
        </is>
      </c>
      <c r="B195" s="10">
        <f>IFERROR(LEFT(A195,FIND("-",A195)-1),"")</f>
        <v/>
      </c>
      <c r="C195" s="11" t="inlineStr">
        <is>
          <t>Enter host payment info (date, check# / PayPal / ACH)</t>
        </is>
      </c>
      <c r="D195" s="12" t="n"/>
      <c r="E195" s="13" t="n"/>
      <c r="F195" s="13" t="n"/>
      <c r="G195" s="14" t="n"/>
      <c r="H195" s="14" t="n"/>
      <c r="I195" s="13" t="n"/>
      <c r="J195" s="13" t="n"/>
      <c r="K195" s="13" t="n"/>
      <c r="L195" s="13" t="n"/>
      <c r="M195" s="13" t="n"/>
      <c r="N195" s="13" t="n"/>
      <c r="O195" s="14" t="n"/>
    </row>
    <row r="196" ht="15" customHeight="1">
      <c r="A196" s="9" t="inlineStr">
        <is>
          <t>F-08</t>
        </is>
      </c>
      <c r="B196" s="10">
        <f>IFERROR(LEFT(A196,FIND("-",A196)-1),"")</f>
        <v/>
      </c>
      <c r="C196" s="11" t="inlineStr">
        <is>
          <t>Invoices/Transactions tab: full detail per row</t>
        </is>
      </c>
      <c r="D196" s="12" t="n"/>
      <c r="E196" s="13" t="n"/>
      <c r="F196" s="13" t="n"/>
      <c r="G196" s="14" t="n"/>
      <c r="H196" s="14" t="n"/>
      <c r="I196" s="13" t="n"/>
      <c r="J196" s="13" t="n"/>
      <c r="K196" s="13" t="n"/>
      <c r="L196" s="13" t="n"/>
      <c r="M196" s="13" t="n"/>
      <c r="N196" s="13" t="n"/>
      <c r="O196" s="14" t="n"/>
    </row>
    <row r="197" ht="15" customHeight="1">
      <c r="A197" s="9" t="inlineStr">
        <is>
          <t>F-09</t>
        </is>
      </c>
      <c r="B197" s="10">
        <f>IFERROR(LEFT(A197,FIND("-",A197)-1),"")</f>
        <v/>
      </c>
      <c r="C197" s="11" t="inlineStr">
        <is>
          <t>Click through from a summary line to its transactions</t>
        </is>
      </c>
      <c r="D197" s="12" t="n"/>
      <c r="E197" s="13" t="n"/>
      <c r="F197" s="13" t="n"/>
      <c r="G197" s="14" t="n"/>
      <c r="H197" s="14" t="n"/>
      <c r="I197" s="13" t="n"/>
      <c r="J197" s="13" t="n"/>
      <c r="K197" s="13" t="n"/>
      <c r="L197" s="13" t="n"/>
      <c r="M197" s="13" t="n"/>
      <c r="N197" s="13" t="n"/>
      <c r="O197" s="14" t="n"/>
    </row>
    <row r="198" ht="15" customHeight="1">
      <c r="A198" s="9" t="inlineStr">
        <is>
          <t>F-10</t>
        </is>
      </c>
      <c r="B198" s="10">
        <f>IFERROR(LEFT(A198,FIND("-",A198)-1),"")</f>
        <v/>
      </c>
      <c r="C198" s="11" t="inlineStr">
        <is>
          <t>Export both tabs; open in Excel</t>
        </is>
      </c>
      <c r="D198" s="12" t="n"/>
      <c r="E198" s="13" t="n"/>
      <c r="F198" s="13" t="n"/>
      <c r="G198" s="14" t="n"/>
      <c r="H198" s="14" t="n"/>
      <c r="I198" s="13" t="n"/>
      <c r="J198" s="13" t="n"/>
      <c r="K198" s="13" t="n"/>
      <c r="L198" s="13" t="n"/>
      <c r="M198" s="13" t="n"/>
      <c r="N198" s="13" t="n"/>
      <c r="O198" s="14" t="n"/>
    </row>
    <row r="199" ht="15" customHeight="1">
      <c r="A199" s="9" t="inlineStr">
        <is>
          <t>F-11</t>
        </is>
      </c>
      <c r="B199" s="10">
        <f>IFERROR(LEFT(A199,FIND("-",A199)-1),"")</f>
        <v/>
      </c>
      <c r="C199" s="11" t="inlineStr">
        <is>
          <t>Accounting-code management</t>
        </is>
      </c>
      <c r="D199" s="12" t="n"/>
      <c r="E199" s="13" t="n"/>
      <c r="F199" s="13" t="n"/>
      <c r="G199" s="14" t="n"/>
      <c r="H199" s="14" t="n"/>
      <c r="I199" s="13" t="n"/>
      <c r="J199" s="13" t="n"/>
      <c r="K199" s="13" t="n"/>
      <c r="L199" s="13" t="n"/>
      <c r="M199" s="13" t="n"/>
      <c r="N199" s="13" t="n"/>
      <c r="O199" s="14" t="n"/>
    </row>
    <row r="200" ht="15" customHeight="1">
      <c r="A200" s="9" t="inlineStr">
        <is>
          <t>F-12</t>
        </is>
      </c>
      <c r="B200" s="10">
        <f>IFERROR(LEFT(A200,FIND("-",A200)-1),"")</f>
        <v/>
      </c>
      <c r="C200" s="11" t="inlineStr">
        <is>
          <t>#/admin/members: search, edit, export a person, delete a person</t>
        </is>
      </c>
      <c r="D200" s="12" t="n"/>
      <c r="E200" s="13" t="n"/>
      <c r="F200" s="13" t="n"/>
      <c r="G200" s="14" t="n"/>
      <c r="H200" s="14" t="n"/>
      <c r="I200" s="13" t="n"/>
      <c r="J200" s="13" t="n"/>
      <c r="K200" s="13" t="n"/>
      <c r="L200" s="13" t="n"/>
      <c r="M200" s="13" t="n"/>
      <c r="N200" s="13" t="n"/>
      <c r="O200" s="14" t="n"/>
    </row>
    <row r="201" ht="15" customHeight="1">
      <c r="A201" s="9" t="inlineStr">
        <is>
          <t>F-13</t>
        </is>
      </c>
      <c r="B201" s="10">
        <f>IFERROR(LEFT(A201,FIND("-",A201)-1),"")</f>
        <v/>
      </c>
      <c r="C201" s="11" t="inlineStr">
        <is>
          <t>#/admin/clubs: create, edit, manage managers</t>
        </is>
      </c>
      <c r="D201" s="12" t="n"/>
      <c r="E201" s="13" t="n"/>
      <c r="F201" s="13" t="n"/>
      <c r="G201" s="14" t="n"/>
      <c r="H201" s="14" t="n"/>
      <c r="I201" s="13" t="n"/>
      <c r="J201" s="13" t="n"/>
      <c r="K201" s="13" t="n"/>
      <c r="L201" s="13" t="n"/>
      <c r="M201" s="13" t="n"/>
      <c r="N201" s="13" t="n"/>
      <c r="O201" s="14" t="n"/>
    </row>
    <row r="202" ht="15" customHeight="1">
      <c r="A202" s="9" t="inlineStr">
        <is>
          <t>F-14</t>
        </is>
      </c>
      <c r="B202" s="10">
        <f>IFERROR(LEFT(A202,FIND("-",A202)-1),"")</f>
        <v/>
      </c>
      <c r="C202" s="11" t="inlineStr">
        <is>
          <t>#/admin/league: seasons, levels, regions, promos, waivers, roles</t>
        </is>
      </c>
      <c r="D202" s="12" t="n"/>
      <c r="E202" s="13" t="n"/>
      <c r="F202" s="13" t="n"/>
      <c r="G202" s="14" t="n"/>
      <c r="H202" s="14" t="n"/>
      <c r="I202" s="13" t="n"/>
      <c r="J202" s="13" t="n"/>
      <c r="K202" s="13" t="n"/>
      <c r="L202" s="13" t="n"/>
      <c r="M202" s="13" t="n"/>
      <c r="N202" s="13" t="n"/>
      <c r="O202" s="14" t="n"/>
    </row>
    <row r="203" ht="15" customHeight="1">
      <c r="A203" s="9" t="inlineStr">
        <is>
          <t>F-15</t>
        </is>
      </c>
      <c r="B203" s="10">
        <f>IFERROR(LEFT(A203,FIND("-",A203)-1),"")</f>
        <v/>
      </c>
      <c r="C203" s="11" t="inlineStr">
        <is>
          <t>Grant then REVOKE a role; have that person refresh</t>
        </is>
      </c>
      <c r="D203" s="12" t="n"/>
      <c r="E203" s="13" t="n"/>
      <c r="F203" s="13" t="n"/>
      <c r="G203" s="14" t="n"/>
      <c r="H203" s="14" t="n"/>
      <c r="I203" s="13" t="n"/>
      <c r="J203" s="13" t="n"/>
      <c r="K203" s="13" t="n"/>
      <c r="L203" s="13" t="n"/>
      <c r="M203" s="13" t="n"/>
      <c r="N203" s="13" t="n"/>
      <c r="O203" s="14" t="n"/>
    </row>
    <row r="204" ht="15" customHeight="1">
      <c r="A204" s="9" t="inlineStr">
        <is>
          <t>F-16</t>
        </is>
      </c>
      <c r="B204" s="10">
        <f>IFERROR(LEFT(A204,FIND("-",A204)-1),"")</f>
        <v/>
      </c>
      <c r="C204" s="11" t="inlineStr">
        <is>
          <t>#/admin/errors - correlate one against your timestamp column</t>
        </is>
      </c>
      <c r="D204" s="12" t="n"/>
      <c r="E204" s="13" t="n"/>
      <c r="F204" s="13" t="n"/>
      <c r="G204" s="14" t="n"/>
      <c r="H204" s="14" t="n"/>
      <c r="I204" s="13" t="n"/>
      <c r="J204" s="13" t="n"/>
      <c r="K204" s="13" t="n"/>
      <c r="L204" s="13" t="n"/>
      <c r="M204" s="13" t="n"/>
      <c r="N204" s="13" t="n"/>
      <c r="O204" s="14" t="n"/>
    </row>
    <row r="205" ht="15" customHeight="1">
      <c r="A205" s="9" t="inlineStr">
        <is>
          <t>F-17</t>
        </is>
      </c>
      <c r="B205" s="10">
        <f>IFERROR(LEFT(A205,FIND("-",A205)-1),"")</f>
        <v/>
      </c>
      <c r="C205" s="11" t="inlineStr">
        <is>
          <t>Payments reconciliation tool</t>
        </is>
      </c>
      <c r="D205" s="12" t="n"/>
      <c r="E205" s="13" t="n"/>
      <c r="F205" s="13" t="n"/>
      <c r="G205" s="14" t="n"/>
      <c r="H205" s="14" t="n"/>
      <c r="I205" s="13" t="n"/>
      <c r="J205" s="13" t="n"/>
      <c r="K205" s="13" t="n"/>
      <c r="L205" s="13" t="n"/>
      <c r="M205" s="13" t="n"/>
      <c r="N205" s="13" t="n"/>
      <c r="O205" s="14" t="n"/>
    </row>
    <row r="206" ht="15" customHeight="1">
      <c r="A206" s="9" t="inlineStr">
        <is>
          <t>F-18</t>
        </is>
      </c>
      <c r="B206" s="10">
        <f>IFERROR(LEFT(A206,FIND("-",A206)-1),"")</f>
        <v/>
      </c>
      <c r="C206" s="11" t="inlineStr">
        <is>
          <t>Manager-access request -&gt; review flow</t>
        </is>
      </c>
      <c r="D206" s="12" t="n"/>
      <c r="E206" s="13" t="n"/>
      <c r="F206" s="13" t="n"/>
      <c r="G206" s="14" t="n"/>
      <c r="H206" s="14" t="n"/>
      <c r="I206" s="13" t="n"/>
      <c r="J206" s="13" t="n"/>
      <c r="K206" s="13" t="n"/>
      <c r="L206" s="13" t="n"/>
      <c r="M206" s="13" t="n"/>
      <c r="N206" s="13" t="n"/>
      <c r="O206" s="14" t="n"/>
    </row>
    <row r="207" ht="20" customHeight="1">
      <c r="A207" s="8" t="inlineStr">
        <is>
          <t>J  -  Judge &amp; meet day (2 devices)</t>
        </is>
      </c>
    </row>
    <row r="208" ht="15" customHeight="1">
      <c r="A208" s="9" t="inlineStr">
        <is>
          <t>J-01</t>
        </is>
      </c>
      <c r="B208" s="10">
        <f>IFERROR(LEFT(A208,FIND("-",A208)-1),"")</f>
        <v/>
      </c>
      <c r="C208" s="11" t="inlineStr">
        <is>
          <t>Generate a judge access code for a live event</t>
        </is>
      </c>
      <c r="D208" s="12" t="n"/>
      <c r="E208" s="13" t="n"/>
      <c r="F208" s="13" t="n"/>
      <c r="G208" s="14" t="n"/>
      <c r="H208" s="14" t="n"/>
      <c r="I208" s="13" t="n"/>
      <c r="J208" s="13" t="n"/>
      <c r="K208" s="13" t="n"/>
      <c r="L208" s="13" t="n"/>
      <c r="M208" s="13" t="n"/>
      <c r="N208" s="13" t="n"/>
      <c r="O208" s="14" t="n"/>
    </row>
    <row r="209" ht="15" customHeight="1">
      <c r="A209" s="9" t="inlineStr">
        <is>
          <t>J-02</t>
        </is>
      </c>
      <c r="B209" s="10">
        <f>IFERROR(LEFT(A209,FIND("-",A209)-1),"")</f>
        <v/>
      </c>
      <c r="C209" s="11" t="inlineStr">
        <is>
          <t>Device 2, signed out: SCAN THE QR WITH A REAL CAMERA</t>
        </is>
      </c>
      <c r="D209" s="12" t="n"/>
      <c r="E209" s="13" t="n"/>
      <c r="F209" s="13" t="n"/>
      <c r="G209" s="14" t="n"/>
      <c r="H209" s="14" t="n"/>
      <c r="I209" s="13" t="n"/>
      <c r="J209" s="13" t="n"/>
      <c r="K209" s="13" t="n"/>
      <c r="L209" s="13" t="n"/>
      <c r="M209" s="13" t="n"/>
      <c r="N209" s="13" t="n"/>
      <c r="O209" s="14" t="n"/>
    </row>
    <row r="210" ht="15" customHeight="1">
      <c r="A210" s="9" t="inlineStr">
        <is>
          <t>J-03</t>
        </is>
      </c>
      <c r="B210" s="10">
        <f>IFERROR(LEFT(A210,FIND("-",A210)-1),"")</f>
        <v/>
      </c>
      <c r="C210" s="11" t="inlineStr">
        <is>
          <t>Device 2: unlock with the 6-digit code</t>
        </is>
      </c>
      <c r="D210" s="12" t="n"/>
      <c r="E210" s="13" t="n"/>
      <c r="F210" s="13" t="n"/>
      <c r="G210" s="14" t="n"/>
      <c r="H210" s="14" t="n"/>
      <c r="I210" s="13" t="n"/>
      <c r="J210" s="13" t="n"/>
      <c r="K210" s="13" t="n"/>
      <c r="L210" s="13" t="n"/>
      <c r="M210" s="13" t="n"/>
      <c r="N210" s="13" t="n"/>
      <c r="O210" s="14" t="n"/>
    </row>
    <row r="211" ht="15" customHeight="1">
      <c r="A211" s="9" t="inlineStr">
        <is>
          <t>J-04</t>
        </is>
      </c>
      <c r="B211" s="10">
        <f>IFERROR(LEFT(A211,FIND("-",A211)-1),"")</f>
        <v/>
      </c>
      <c r="C211" s="11" t="inlineStr">
        <is>
          <t>*** Enter ~16 wrong codes: rate-limited after 15? (Appendix B) ***</t>
        </is>
      </c>
      <c r="D211" s="12" t="n"/>
      <c r="E211" s="13" t="n"/>
      <c r="F211" s="13" t="n"/>
      <c r="G211" s="14" t="n"/>
      <c r="H211" s="14" t="n"/>
      <c r="I211" s="13" t="n"/>
      <c r="J211" s="13" t="n"/>
      <c r="K211" s="13" t="n"/>
      <c r="L211" s="13" t="n"/>
      <c r="M211" s="13" t="n"/>
      <c r="N211" s="13" t="n"/>
      <c r="O211" s="14" t="n"/>
    </row>
    <row r="212" ht="15" customHeight="1">
      <c r="A212" s="9" t="inlineStr">
        <is>
          <t>J-05</t>
        </is>
      </c>
      <c r="B212" s="10">
        <f>IFERROR(LEFT(A212,FIND("-",A212)-1),"")</f>
        <v/>
      </c>
      <c r="C212" s="11" t="inlineStr">
        <is>
          <t>After the lockout, unlock with the URL/QR token instead</t>
        </is>
      </c>
      <c r="D212" s="12" t="n"/>
      <c r="E212" s="13" t="n"/>
      <c r="F212" s="13" t="n"/>
      <c r="G212" s="14" t="n"/>
      <c r="H212" s="14" t="n"/>
      <c r="I212" s="13" t="n"/>
      <c r="J212" s="13" t="n"/>
      <c r="K212" s="13" t="n"/>
      <c r="L212" s="13" t="n"/>
      <c r="M212" s="13" t="n"/>
      <c r="N212" s="13" t="n"/>
      <c r="O212" s="14" t="n"/>
    </row>
    <row r="213" ht="15" customHeight="1">
      <c r="A213" s="9" t="inlineStr">
        <is>
          <t>J-06</t>
        </is>
      </c>
      <c r="B213" s="10">
        <f>IFERROR(LEFT(A213,FIND("-",A213)-1),"")</f>
        <v/>
      </c>
      <c r="C213" s="11" t="inlineStr">
        <is>
          <t>After a successful unlock, try a few bad codes again</t>
        </is>
      </c>
      <c r="D213" s="12" t="n"/>
      <c r="E213" s="13" t="n"/>
      <c r="F213" s="13" t="n"/>
      <c r="G213" s="14" t="n"/>
      <c r="H213" s="14" t="n"/>
      <c r="I213" s="13" t="n"/>
      <c r="J213" s="13" t="n"/>
      <c r="K213" s="13" t="n"/>
      <c r="L213" s="13" t="n"/>
      <c r="M213" s="13" t="n"/>
      <c r="N213" s="13" t="n"/>
      <c r="O213" s="14" t="n"/>
    </row>
    <row r="214" ht="15" customHeight="1">
      <c r="A214" s="9" t="inlineStr">
        <is>
          <t>J-07</t>
        </is>
      </c>
      <c r="B214" s="10">
        <f>IFERROR(LEFT(A214,FIND("-",A214)-1),"")</f>
        <v/>
      </c>
      <c r="C214" s="11" t="inlineStr">
        <is>
          <t>Enter a real score from the anonymous device</t>
        </is>
      </c>
      <c r="D214" s="12" t="n"/>
      <c r="E214" s="13" t="n"/>
      <c r="F214" s="13" t="n"/>
      <c r="G214" s="14" t="n"/>
      <c r="H214" s="14" t="n"/>
      <c r="I214" s="13" t="n"/>
      <c r="J214" s="13" t="n"/>
      <c r="K214" s="13" t="n"/>
      <c r="L214" s="13" t="n"/>
      <c r="M214" s="13" t="n"/>
      <c r="N214" s="13" t="n"/>
      <c r="O214" s="14" t="n"/>
    </row>
    <row r="215" ht="15" customHeight="1">
      <c r="A215" s="9" t="inlineStr">
        <is>
          <t>J-08</t>
        </is>
      </c>
      <c r="B215" s="10">
        <f>IFERROR(LEFT(A215,FIND("-",A215)-1),"")</f>
        <v/>
      </c>
      <c r="C215" s="11" t="inlineStr">
        <is>
          <t>Watch it appear on device 1 WITHOUT refreshing</t>
        </is>
      </c>
      <c r="D215" s="12" t="n"/>
      <c r="E215" s="13" t="n"/>
      <c r="F215" s="13" t="n"/>
      <c r="G215" s="14" t="n"/>
      <c r="H215" s="14" t="n"/>
      <c r="I215" s="13" t="n"/>
      <c r="J215" s="13" t="n"/>
      <c r="K215" s="13" t="n"/>
      <c r="L215" s="13" t="n"/>
      <c r="M215" s="13" t="n"/>
      <c r="N215" s="13" t="n"/>
      <c r="O215" s="14" t="n"/>
    </row>
    <row r="216" ht="15" customHeight="1">
      <c r="A216" s="9" t="inlineStr">
        <is>
          <t>J-09</t>
        </is>
      </c>
      <c r="B216" s="10">
        <f>IFERROR(LEFT(A216,FIND("-",A216)-1),"")</f>
        <v/>
      </c>
      <c r="C216" s="11" t="inlineStr">
        <is>
          <t>Calculator entry mode - check the math by hand</t>
        </is>
      </c>
      <c r="D216" s="12" t="n"/>
      <c r="E216" s="13" t="n"/>
      <c r="F216" s="13" t="n"/>
      <c r="G216" s="14" t="n"/>
      <c r="H216" s="14" t="n"/>
      <c r="I216" s="13" t="n"/>
      <c r="J216" s="13" t="n"/>
      <c r="K216" s="13" t="n"/>
      <c r="L216" s="13" t="n"/>
      <c r="M216" s="13" t="n"/>
      <c r="N216" s="13" t="n"/>
      <c r="O216" s="14" t="n"/>
    </row>
    <row r="217" ht="15" customHeight="1">
      <c r="A217" s="9" t="inlineStr">
        <is>
          <t>J-10</t>
        </is>
      </c>
      <c r="B217" s="10">
        <f>IFERROR(LEFT(A217,FIND("-",A217)-1),"")</f>
        <v/>
      </c>
      <c r="C217" s="11" t="inlineStr">
        <is>
          <t>Simple entry mode</t>
        </is>
      </c>
      <c r="D217" s="12" t="n"/>
      <c r="E217" s="13" t="n"/>
      <c r="F217" s="13" t="n"/>
      <c r="G217" s="14" t="n"/>
      <c r="H217" s="14" t="n"/>
      <c r="I217" s="13" t="n"/>
      <c r="J217" s="13" t="n"/>
      <c r="K217" s="13" t="n"/>
      <c r="L217" s="13" t="n"/>
      <c r="M217" s="13" t="n"/>
      <c r="N217" s="13" t="n"/>
      <c r="O217" s="14" t="n"/>
    </row>
    <row r="218" ht="15" customHeight="1">
      <c r="A218" s="9" t="inlineStr">
        <is>
          <t>J-11</t>
        </is>
      </c>
      <c r="B218" s="10">
        <f>IFERROR(LEFT(A218,FIND("-",A218)-1),"")</f>
        <v/>
      </c>
      <c r="C218" s="11" t="inlineStr">
        <is>
          <t>2-judge panel: execution scores averaged</t>
        </is>
      </c>
      <c r="D218" s="12" t="n"/>
      <c r="E218" s="13" t="n"/>
      <c r="F218" s="13" t="n"/>
      <c r="G218" s="14" t="n"/>
      <c r="H218" s="14" t="n"/>
      <c r="I218" s="13" t="n"/>
      <c r="J218" s="13" t="n"/>
      <c r="K218" s="13" t="n"/>
      <c r="L218" s="13" t="n"/>
      <c r="M218" s="13" t="n"/>
      <c r="N218" s="13" t="n"/>
      <c r="O218" s="14" t="n"/>
    </row>
    <row r="219" ht="15" customHeight="1">
      <c r="A219" s="9" t="inlineStr">
        <is>
          <t>J-12</t>
        </is>
      </c>
      <c r="B219" s="10">
        <f>IFERROR(LEFT(A219,FIND("-",A219)-1),"")</f>
        <v/>
      </c>
      <c r="C219" s="11" t="inlineStr">
        <is>
          <t>Score every discipline you support (MAG, WAG, T&amp;T, specialty)</t>
        </is>
      </c>
      <c r="D219" s="12" t="n"/>
      <c r="E219" s="13" t="n"/>
      <c r="F219" s="13" t="n"/>
      <c r="G219" s="14" t="n"/>
      <c r="H219" s="14" t="n"/>
      <c r="I219" s="13" t="n"/>
      <c r="J219" s="13" t="n"/>
      <c r="K219" s="13" t="n"/>
      <c r="L219" s="13" t="n"/>
      <c r="M219" s="13" t="n"/>
      <c r="N219" s="13" t="n"/>
      <c r="O219" s="14" t="n"/>
    </row>
    <row r="220" ht="15" customHeight="1">
      <c r="A220" s="9" t="inlineStr">
        <is>
          <t>J-13</t>
        </is>
      </c>
      <c r="B220" s="10">
        <f>IFERROR(LEFT(A220,FIND("-",A220)-1),"")</f>
        <v/>
      </c>
      <c r="C220" s="11" t="inlineStr">
        <is>
          <t>Edit a posted score (updates public results too?)</t>
        </is>
      </c>
      <c r="D220" s="12" t="n"/>
      <c r="E220" s="13" t="n"/>
      <c r="F220" s="13" t="n"/>
      <c r="G220" s="14" t="n"/>
      <c r="H220" s="14" t="n"/>
      <c r="I220" s="13" t="n"/>
      <c r="J220" s="13" t="n"/>
      <c r="K220" s="13" t="n"/>
      <c r="L220" s="13" t="n"/>
      <c r="M220" s="13" t="n"/>
      <c r="N220" s="13" t="n"/>
      <c r="O220" s="14" t="n"/>
    </row>
    <row r="221" ht="15" customHeight="1">
      <c r="A221" s="9" t="inlineStr">
        <is>
          <t>J-14</t>
        </is>
      </c>
      <c r="B221" s="10">
        <f>IFERROR(LEFT(A221,FIND("-",A221)-1),"")</f>
        <v/>
      </c>
      <c r="C221" s="11" t="inlineStr">
        <is>
          <t>Open a score detail page</t>
        </is>
      </c>
      <c r="D221" s="12" t="n"/>
      <c r="E221" s="13" t="n"/>
      <c r="F221" s="13" t="n"/>
      <c r="G221" s="14" t="n"/>
      <c r="H221" s="14" t="n"/>
      <c r="I221" s="13" t="n"/>
      <c r="J221" s="13" t="n"/>
      <c r="K221" s="13" t="n"/>
      <c r="L221" s="13" t="n"/>
      <c r="M221" s="13" t="n"/>
      <c r="N221" s="13" t="n"/>
      <c r="O221" s="14" t="n"/>
    </row>
    <row r="222" ht="15" customHeight="1">
      <c r="A222" s="9" t="inlineStr">
        <is>
          <t>J-15</t>
        </is>
      </c>
      <c r="B222" s="10">
        <f>IFERROR(LEFT(A222,FIND("-",A222)-1),"")</f>
        <v/>
      </c>
      <c r="C222" s="11" t="inlineStr">
        <is>
          <t>Score entry with no unlock and no privileged account</t>
        </is>
      </c>
      <c r="D222" s="12" t="n"/>
      <c r="E222" s="13" t="n"/>
      <c r="F222" s="13" t="n"/>
      <c r="G222" s="14" t="n"/>
      <c r="H222" s="14" t="n"/>
      <c r="I222" s="13" t="n"/>
      <c r="J222" s="13" t="n"/>
      <c r="K222" s="13" t="n"/>
      <c r="L222" s="13" t="n"/>
      <c r="M222" s="13" t="n"/>
      <c r="N222" s="13" t="n"/>
      <c r="O222" s="14" t="n"/>
    </row>
    <row r="223" ht="15" customHeight="1">
      <c r="A223" s="9" t="inlineStr">
        <is>
          <t>J-16</t>
        </is>
      </c>
      <c r="B223" s="10">
        <f>IFERROR(LEFT(A223,FIND("-",A223)-1),"")</f>
        <v/>
      </c>
      <c r="C223" s="11" t="inlineStr">
        <is>
          <t>Judge on a phone in landscape, one-handed, venue wifi</t>
        </is>
      </c>
      <c r="D223" s="12" t="n"/>
      <c r="E223" s="13" t="n"/>
      <c r="F223" s="13" t="n"/>
      <c r="G223" s="14" t="n"/>
      <c r="H223" s="14" t="n"/>
      <c r="I223" s="13" t="n"/>
      <c r="J223" s="13" t="n"/>
      <c r="K223" s="13" t="n"/>
      <c r="L223" s="13" t="n"/>
      <c r="M223" s="13" t="n"/>
      <c r="N223" s="13" t="n"/>
      <c r="O223" s="14" t="n"/>
    </row>
    <row r="224" ht="15" customHeight="1">
      <c r="A224" s="9" t="inlineStr">
        <is>
          <t>J-17</t>
        </is>
      </c>
      <c r="B224" s="10">
        <f>IFERROR(LEFT(A224,FIND("-",A224)-1),"")</f>
        <v/>
      </c>
      <c r="C224" s="11" t="inlineStr">
        <is>
          <t>Turn wifi off mid-entry, then back on</t>
        </is>
      </c>
      <c r="D224" s="12" t="n"/>
      <c r="E224" s="13" t="n"/>
      <c r="F224" s="13" t="n"/>
      <c r="G224" s="14" t="n"/>
      <c r="H224" s="14" t="n"/>
      <c r="I224" s="13" t="n"/>
      <c r="J224" s="13" t="n"/>
      <c r="K224" s="13" t="n"/>
      <c r="L224" s="13" t="n"/>
      <c r="M224" s="13" t="n"/>
      <c r="N224" s="13" t="n"/>
      <c r="O224" s="14" t="n"/>
    </row>
    <row r="225" ht="20" customHeight="1">
      <c r="A225" s="8" t="inlineStr">
        <is>
          <t>X  -  Public &amp; anonymous (incognito)</t>
        </is>
      </c>
    </row>
    <row r="226" ht="15" customHeight="1">
      <c r="A226" s="9" t="inlineStr">
        <is>
          <t>X-01</t>
        </is>
      </c>
      <c r="B226" s="10">
        <f>IFERROR(LEFT(A226,FIND("-",A226)-1),"")</f>
        <v/>
      </c>
      <c r="C226" s="11" t="inlineStr">
        <is>
          <t>Public Results index + an event's results (names visible?)</t>
        </is>
      </c>
      <c r="D226" s="12" t="n"/>
      <c r="E226" s="13" t="n"/>
      <c r="F226" s="13" t="n"/>
      <c r="G226" s="14" t="n"/>
      <c r="H226" s="14" t="n"/>
      <c r="I226" s="13" t="n"/>
      <c r="J226" s="13" t="n"/>
      <c r="K226" s="13" t="n"/>
      <c r="L226" s="13" t="n"/>
      <c r="M226" s="13" t="n"/>
      <c r="N226" s="13" t="n"/>
      <c r="O226" s="14" t="n"/>
    </row>
    <row r="227" ht="15" customHeight="1">
      <c r="A227" s="9" t="inlineStr">
        <is>
          <t>X-02</t>
        </is>
      </c>
      <c r="B227" s="10">
        <f>IFERROR(LEFT(A227,FIND("-",A227)-1),"")</f>
        <v/>
      </c>
      <c r="C227" s="11" t="inlineStr">
        <is>
          <t>*** Results for an event with scores across sessions (Appendix B) ***</t>
        </is>
      </c>
      <c r="D227" s="12" t="n"/>
      <c r="E227" s="13" t="n"/>
      <c r="F227" s="13" t="n"/>
      <c r="G227" s="14" t="n"/>
      <c r="H227" s="14" t="n"/>
      <c r="I227" s="13" t="n"/>
      <c r="J227" s="13" t="n"/>
      <c r="K227" s="13" t="n"/>
      <c r="L227" s="13" t="n"/>
      <c r="M227" s="13" t="n"/>
      <c r="N227" s="13" t="n"/>
      <c r="O227" s="14" t="n"/>
    </row>
    <row r="228" ht="15" customHeight="1">
      <c r="A228" s="9" t="inlineStr">
        <is>
          <t>X-03</t>
        </is>
      </c>
      <c r="B228" s="10">
        <f>IFERROR(LEFT(A228,FIND("-",A228)-1),"")</f>
        <v/>
      </c>
      <c r="C228" s="11" t="inlineStr">
        <is>
          <t>*** Results where some regs have NO session assigned ***</t>
        </is>
      </c>
      <c r="D228" s="12" t="n"/>
      <c r="E228" s="13" t="n"/>
      <c r="F228" s="13" t="n"/>
      <c r="G228" s="14" t="n"/>
      <c r="H228" s="14" t="n"/>
      <c r="I228" s="13" t="n"/>
      <c r="J228" s="13" t="n"/>
      <c r="K228" s="13" t="n"/>
      <c r="L228" s="13" t="n"/>
      <c r="M228" s="13" t="n"/>
      <c r="N228" s="13" t="n"/>
      <c r="O228" s="14" t="n"/>
    </row>
    <row r="229" ht="15" customHeight="1">
      <c r="A229" s="9" t="inlineStr">
        <is>
          <t>X-04</t>
        </is>
      </c>
      <c r="B229" s="10">
        <f>IFERROR(LEFT(A229,FIND("-",A229)-1),"")</f>
        <v/>
      </c>
      <c r="C229" s="11" t="inlineStr">
        <is>
          <t>Public Events list + an event detail page</t>
        </is>
      </c>
      <c r="D229" s="12" t="n"/>
      <c r="E229" s="13" t="n"/>
      <c r="F229" s="13" t="n"/>
      <c r="G229" s="14" t="n"/>
      <c r="H229" s="14" t="n"/>
      <c r="I229" s="13" t="n"/>
      <c r="J229" s="13" t="n"/>
      <c r="K229" s="13" t="n"/>
      <c r="L229" s="13" t="n"/>
      <c r="M229" s="13" t="n"/>
      <c r="N229" s="13" t="n"/>
      <c r="O229" s="14" t="n"/>
    </row>
    <row r="230" ht="15" customHeight="1">
      <c r="A230" s="9" t="inlineStr">
        <is>
          <t>X-05</t>
        </is>
      </c>
      <c r="B230" s="10">
        <f>IFERROR(LEFT(A230,FIND("-",A230)-1),"")</f>
        <v/>
      </c>
      <c r="C230" s="11" t="inlineStr">
        <is>
          <t>Home page while signed out</t>
        </is>
      </c>
      <c r="D230" s="12" t="n"/>
      <c r="E230" s="13" t="n"/>
      <c r="F230" s="13" t="n"/>
      <c r="G230" s="14" t="n"/>
      <c r="H230" s="14" t="n"/>
      <c r="I230" s="13" t="n"/>
      <c r="J230" s="13" t="n"/>
      <c r="K230" s="13" t="n"/>
      <c r="L230" s="13" t="n"/>
      <c r="M230" s="13" t="n"/>
      <c r="N230" s="13" t="n"/>
      <c r="O230" s="14" t="n"/>
    </row>
    <row r="231" ht="15" customHeight="1">
      <c r="A231" s="9" t="inlineStr">
        <is>
          <t>X-06</t>
        </is>
      </c>
      <c r="B231" s="10">
        <f>IFERROR(LEFT(A231,FIND("-",A231)-1),"")</f>
        <v/>
      </c>
      <c r="C231" s="11" t="inlineStr">
        <is>
          <t>Try #/me, #/cart, #/admin/members while signed out</t>
        </is>
      </c>
      <c r="D231" s="12" t="n"/>
      <c r="E231" s="13" t="n"/>
      <c r="F231" s="13" t="n"/>
      <c r="G231" s="14" t="n"/>
      <c r="H231" s="14" t="n"/>
      <c r="I231" s="13" t="n"/>
      <c r="J231" s="13" t="n"/>
      <c r="K231" s="13" t="n"/>
      <c r="L231" s="13" t="n"/>
      <c r="M231" s="13" t="n"/>
      <c r="N231" s="13" t="n"/>
      <c r="O231" s="14" t="n"/>
    </row>
    <row r="232" ht="15" customHeight="1">
      <c r="A232" s="9" t="inlineStr">
        <is>
          <t>X-07</t>
        </is>
      </c>
      <c r="B232" s="10">
        <f>IFERROR(LEFT(A232,FIND("-",A232)-1),"")</f>
        <v/>
      </c>
      <c r="C232" s="11" t="inlineStr">
        <is>
          <t>Open a judge access URL you weren't given</t>
        </is>
      </c>
      <c r="D232" s="12" t="n"/>
      <c r="E232" s="13" t="n"/>
      <c r="F232" s="13" t="n"/>
      <c r="G232" s="14" t="n"/>
      <c r="H232" s="14" t="n"/>
      <c r="I232" s="13" t="n"/>
      <c r="J232" s="13" t="n"/>
      <c r="K232" s="13" t="n"/>
      <c r="L232" s="13" t="n"/>
      <c r="M232" s="13" t="n"/>
      <c r="N232" s="13" t="n"/>
      <c r="O232" s="14" t="n"/>
    </row>
    <row r="233" ht="15" customHeight="1">
      <c r="A233" s="9" t="inlineStr">
        <is>
          <t>X-08</t>
        </is>
      </c>
      <c r="B233" s="10">
        <f>IFERROR(LEFT(A233,FIND("-",A233)-1),"")</f>
        <v/>
      </c>
      <c r="C233" s="11" t="inlineStr">
        <is>
          <t>Share an event link to yourself and open it from there</t>
        </is>
      </c>
      <c r="D233" s="12" t="n"/>
      <c r="E233" s="13" t="n"/>
      <c r="F233" s="13" t="n"/>
      <c r="G233" s="14" t="n"/>
      <c r="H233" s="14" t="n"/>
      <c r="I233" s="13" t="n"/>
      <c r="J233" s="13" t="n"/>
      <c r="K233" s="13" t="n"/>
      <c r="L233" s="13" t="n"/>
      <c r="M233" s="13" t="n"/>
      <c r="N233" s="13" t="n"/>
      <c r="O233" s="14" t="n"/>
    </row>
    <row r="234" ht="15" customHeight="1">
      <c r="A234" s="9" t="inlineStr">
        <is>
          <t>X-09</t>
        </is>
      </c>
      <c r="B234" s="10">
        <f>IFERROR(LEFT(A234,FIND("-",A234)-1),"")</f>
        <v/>
      </c>
      <c r="C234" s="11" t="inlineStr">
        <is>
          <t>Public pages on a phone</t>
        </is>
      </c>
      <c r="D234" s="12" t="n"/>
      <c r="E234" s="13" t="n"/>
      <c r="F234" s="13" t="n"/>
      <c r="G234" s="14" t="n"/>
      <c r="H234" s="14" t="n"/>
      <c r="I234" s="13" t="n"/>
      <c r="J234" s="13" t="n"/>
      <c r="K234" s="13" t="n"/>
      <c r="L234" s="13" t="n"/>
      <c r="M234" s="13" t="n"/>
      <c r="N234" s="13" t="n"/>
      <c r="O234" s="14" t="n"/>
    </row>
    <row r="235" ht="20" customHeight="1">
      <c r="A235" s="8" t="inlineStr">
        <is>
          <t>D  -  Devices, responsive &amp; PWA</t>
        </is>
      </c>
    </row>
    <row r="236" ht="15" customHeight="1">
      <c r="A236" s="9" t="inlineStr">
        <is>
          <t>D-01</t>
        </is>
      </c>
      <c r="B236" s="10">
        <f>IFERROR(LEFT(A236,FIND("-",A236)-1),"")</f>
        <v/>
      </c>
      <c r="C236" s="11" t="inlineStr">
        <is>
          <t>Full pass on an iPhone (Safari)</t>
        </is>
      </c>
      <c r="D236" s="12" t="n"/>
      <c r="E236" s="13" t="n"/>
      <c r="F236" s="13" t="n"/>
      <c r="G236" s="14" t="n"/>
      <c r="H236" s="14" t="n"/>
      <c r="I236" s="13" t="n"/>
      <c r="J236" s="13" t="n"/>
      <c r="K236" s="13" t="n"/>
      <c r="L236" s="13" t="n"/>
      <c r="M236" s="13" t="n"/>
      <c r="N236" s="13" t="n"/>
      <c r="O236" s="14" t="n"/>
    </row>
    <row r="237" ht="15" customHeight="1">
      <c r="A237" s="9" t="inlineStr">
        <is>
          <t>D-02</t>
        </is>
      </c>
      <c r="B237" s="10">
        <f>IFERROR(LEFT(A237,FIND("-",A237)-1),"")</f>
        <v/>
      </c>
      <c r="C237" s="11" t="inlineStr">
        <is>
          <t>Full pass on an Android (Chrome)</t>
        </is>
      </c>
      <c r="D237" s="12" t="n"/>
      <c r="E237" s="13" t="n"/>
      <c r="F237" s="13" t="n"/>
      <c r="G237" s="14" t="n"/>
      <c r="H237" s="14" t="n"/>
      <c r="I237" s="13" t="n"/>
      <c r="J237" s="13" t="n"/>
      <c r="K237" s="13" t="n"/>
      <c r="L237" s="13" t="n"/>
      <c r="M237" s="13" t="n"/>
      <c r="N237" s="13" t="n"/>
      <c r="O237" s="14" t="n"/>
    </row>
    <row r="238" ht="15" customHeight="1">
      <c r="A238" s="9" t="inlineStr">
        <is>
          <t>D-03</t>
        </is>
      </c>
      <c r="B238" s="10">
        <f>IFERROR(LEFT(A238,FIND("-",A238)-1),"")</f>
        <v/>
      </c>
      <c r="C238" s="11" t="inlineStr">
        <is>
          <t>Tablet, both orientations</t>
        </is>
      </c>
      <c r="D238" s="12" t="n"/>
      <c r="E238" s="13" t="n"/>
      <c r="F238" s="13" t="n"/>
      <c r="G238" s="14" t="n"/>
      <c r="H238" s="14" t="n"/>
      <c r="I238" s="13" t="n"/>
      <c r="J238" s="13" t="n"/>
      <c r="K238" s="13" t="n"/>
      <c r="L238" s="13" t="n"/>
      <c r="M238" s="13" t="n"/>
      <c r="N238" s="13" t="n"/>
      <c r="O238" s="14" t="n"/>
    </row>
    <row r="239" ht="15" customHeight="1">
      <c r="A239" s="9" t="inlineStr">
        <is>
          <t>D-04</t>
        </is>
      </c>
      <c r="B239" s="10">
        <f>IFERROR(LEFT(A239,FIND("-",A239)-1),"")</f>
        <v/>
      </c>
      <c r="C239" s="11" t="inlineStr">
        <is>
          <t>Mobile nav drawer: open, navigate, close</t>
        </is>
      </c>
      <c r="D239" s="12" t="n"/>
      <c r="E239" s="13" t="n"/>
      <c r="F239" s="13" t="n"/>
      <c r="G239" s="14" t="n"/>
      <c r="H239" s="14" t="n"/>
      <c r="I239" s="13" t="n"/>
      <c r="J239" s="13" t="n"/>
      <c r="K239" s="13" t="n"/>
      <c r="L239" s="13" t="n"/>
      <c r="M239" s="13" t="n"/>
      <c r="N239" s="13" t="n"/>
      <c r="O239" s="14" t="n"/>
    </row>
    <row r="240" ht="15" customHeight="1">
      <c r="A240" s="9" t="inlineStr">
        <is>
          <t>D-05</t>
        </is>
      </c>
      <c r="B240" s="10">
        <f>IFERROR(LEFT(A240,FIND("-",A240)-1),"")</f>
        <v/>
      </c>
      <c r="C240" s="11" t="inlineStr">
        <is>
          <t>Every modal on a phone</t>
        </is>
      </c>
      <c r="D240" s="12" t="n"/>
      <c r="E240" s="13" t="n"/>
      <c r="F240" s="13" t="n"/>
      <c r="G240" s="14" t="n"/>
      <c r="H240" s="14" t="n"/>
      <c r="I240" s="13" t="n"/>
      <c r="J240" s="13" t="n"/>
      <c r="K240" s="13" t="n"/>
      <c r="L240" s="13" t="n"/>
      <c r="M240" s="13" t="n"/>
      <c r="N240" s="13" t="n"/>
      <c r="O240" s="14" t="n"/>
    </row>
    <row r="241" ht="15" customHeight="1">
      <c r="A241" s="9" t="inlineStr">
        <is>
          <t>D-06</t>
        </is>
      </c>
      <c r="B241" s="10">
        <f>IFERROR(LEFT(A241,FIND("-",A241)-1),"")</f>
        <v/>
      </c>
      <c r="C241" s="11" t="inlineStr">
        <is>
          <t>Wide tables on a phone (scroll inside, not the page)</t>
        </is>
      </c>
      <c r="D241" s="12" t="n"/>
      <c r="E241" s="13" t="n"/>
      <c r="F241" s="13" t="n"/>
      <c r="G241" s="14" t="n"/>
      <c r="H241" s="14" t="n"/>
      <c r="I241" s="13" t="n"/>
      <c r="J241" s="13" t="n"/>
      <c r="K241" s="13" t="n"/>
      <c r="L241" s="13" t="n"/>
      <c r="M241" s="13" t="n"/>
      <c r="N241" s="13" t="n"/>
      <c r="O241" s="14" t="n"/>
    </row>
    <row r="242" ht="15" customHeight="1">
      <c r="A242" s="9" t="inlineStr">
        <is>
          <t>D-07</t>
        </is>
      </c>
      <c r="B242" s="10">
        <f>IFERROR(LEFT(A242,FIND("-",A242)-1),"")</f>
        <v/>
      </c>
      <c r="C242" s="11" t="inlineStr">
        <is>
          <t>Install the PWA on iOS and Android</t>
        </is>
      </c>
      <c r="D242" s="12" t="n"/>
      <c r="E242" s="13" t="n"/>
      <c r="F242" s="13" t="n"/>
      <c r="G242" s="14" t="n"/>
      <c r="H242" s="14" t="n"/>
      <c r="I242" s="13" t="n"/>
      <c r="J242" s="13" t="n"/>
      <c r="K242" s="13" t="n"/>
      <c r="L242" s="13" t="n"/>
      <c r="M242" s="13" t="n"/>
      <c r="N242" s="13" t="n"/>
      <c r="O242" s="14" t="n"/>
    </row>
    <row r="243" ht="15" customHeight="1">
      <c r="A243" s="9" t="inlineStr">
        <is>
          <t>D-08</t>
        </is>
      </c>
      <c r="B243" s="10">
        <f>IFERROR(LEFT(A243,FIND("-",A243)-1),"")</f>
        <v/>
      </c>
      <c r="C243" s="11" t="inlineStr">
        <is>
          <t>Full registration flow inside the installed PWA</t>
        </is>
      </c>
      <c r="D243" s="12" t="n"/>
      <c r="E243" s="13" t="n"/>
      <c r="F243" s="13" t="n"/>
      <c r="G243" s="14" t="n"/>
      <c r="H243" s="14" t="n"/>
      <c r="I243" s="13" t="n"/>
      <c r="J243" s="13" t="n"/>
      <c r="K243" s="13" t="n"/>
      <c r="L243" s="13" t="n"/>
      <c r="M243" s="13" t="n"/>
      <c r="N243" s="13" t="n"/>
      <c r="O243" s="14" t="n"/>
    </row>
    <row r="244" ht="15" customHeight="1">
      <c r="A244" s="9" t="inlineStr">
        <is>
          <t>D-09</t>
        </is>
      </c>
      <c r="B244" s="10">
        <f>IFERROR(LEFT(A244,FIND("-",A244)-1),"")</f>
        <v/>
      </c>
      <c r="C244" s="11" t="inlineStr">
        <is>
          <t>*** PWA UPDATE PATH: reopen after the next deploy; note the delay ***</t>
        </is>
      </c>
      <c r="D244" s="12" t="n"/>
      <c r="E244" s="13" t="n"/>
      <c r="F244" s="13" t="n"/>
      <c r="G244" s="14" t="n"/>
      <c r="H244" s="14" t="n"/>
      <c r="I244" s="13" t="n"/>
      <c r="J244" s="13" t="n"/>
      <c r="K244" s="13" t="n"/>
      <c r="L244" s="13" t="n"/>
      <c r="M244" s="13" t="n"/>
      <c r="N244" s="13" t="n"/>
      <c r="O244" s="14" t="n"/>
    </row>
    <row r="245" ht="15" customHeight="1">
      <c r="A245" s="9" t="inlineStr">
        <is>
          <t>D-10</t>
        </is>
      </c>
      <c r="B245" s="10">
        <f>IFERROR(LEFT(A245,FIND("-",A245)-1),"")</f>
        <v/>
      </c>
      <c r="C245" s="11" t="inlineStr">
        <is>
          <t>OS dark mode - flag any text you can barely see</t>
        </is>
      </c>
      <c r="D245" s="12" t="n"/>
      <c r="E245" s="13" t="n"/>
      <c r="F245" s="13" t="n"/>
      <c r="G245" s="14" t="n"/>
      <c r="H245" s="14" t="n"/>
      <c r="I245" s="13" t="n"/>
      <c r="J245" s="13" t="n"/>
      <c r="K245" s="13" t="n"/>
      <c r="L245" s="13" t="n"/>
      <c r="M245" s="13" t="n"/>
      <c r="N245" s="13" t="n"/>
      <c r="O245" s="14" t="n"/>
    </row>
    <row r="246" ht="15" customHeight="1">
      <c r="A246" s="9" t="inlineStr">
        <is>
          <t>D-11</t>
        </is>
      </c>
      <c r="B246" s="10">
        <f>IFERROR(LEFT(A246,FIND("-",A246)-1),"")</f>
        <v/>
      </c>
      <c r="C246" s="11" t="inlineStr">
        <is>
          <t>Browser zoom to 200%</t>
        </is>
      </c>
      <c r="D246" s="12" t="n"/>
      <c r="E246" s="13" t="n"/>
      <c r="F246" s="13" t="n"/>
      <c r="G246" s="14" t="n"/>
      <c r="H246" s="14" t="n"/>
      <c r="I246" s="13" t="n"/>
      <c r="J246" s="13" t="n"/>
      <c r="K246" s="13" t="n"/>
      <c r="L246" s="13" t="n"/>
      <c r="M246" s="13" t="n"/>
      <c r="N246" s="13" t="n"/>
      <c r="O246" s="14" t="n"/>
    </row>
    <row r="247" ht="15" customHeight="1">
      <c r="A247" s="9" t="inlineStr">
        <is>
          <t>D-12</t>
        </is>
      </c>
      <c r="B247" s="10">
        <f>IFERROR(LEFT(A247,FIND("-",A247)-1),"")</f>
        <v/>
      </c>
      <c r="C247" s="11" t="inlineStr">
        <is>
          <t>Rotate the phone mid-form</t>
        </is>
      </c>
      <c r="D247" s="12" t="n"/>
      <c r="E247" s="13" t="n"/>
      <c r="F247" s="13" t="n"/>
      <c r="G247" s="14" t="n"/>
      <c r="H247" s="14" t="n"/>
      <c r="I247" s="13" t="n"/>
      <c r="J247" s="13" t="n"/>
      <c r="K247" s="13" t="n"/>
      <c r="L247" s="13" t="n"/>
      <c r="M247" s="13" t="n"/>
      <c r="N247" s="13" t="n"/>
      <c r="O247" s="14" t="n"/>
    </row>
    <row r="248" ht="15" customHeight="1">
      <c r="A248" s="9" t="inlineStr">
        <is>
          <t>D-13</t>
        </is>
      </c>
      <c r="B248" s="10">
        <f>IFERROR(LEFT(A248,FIND("-",A248)-1),"")</f>
        <v/>
      </c>
      <c r="C248" s="11" t="inlineStr">
        <is>
          <t>Firefox and Edge, one flow each</t>
        </is>
      </c>
      <c r="D248" s="12" t="n"/>
      <c r="E248" s="13" t="n"/>
      <c r="F248" s="13" t="n"/>
      <c r="G248" s="14" t="n"/>
      <c r="H248" s="14" t="n"/>
      <c r="I248" s="13" t="n"/>
      <c r="J248" s="13" t="n"/>
      <c r="K248" s="13" t="n"/>
      <c r="L248" s="13" t="n"/>
      <c r="M248" s="13" t="n"/>
      <c r="N248" s="13" t="n"/>
      <c r="O248" s="14" t="n"/>
    </row>
    <row r="249" ht="20" customHeight="1">
      <c r="A249" s="8" t="inlineStr">
        <is>
          <t>Y  -  Keyboard &amp; accessibility</t>
        </is>
      </c>
    </row>
    <row r="250" ht="15" customHeight="1">
      <c r="A250" s="9" t="inlineStr">
        <is>
          <t>Y-01</t>
        </is>
      </c>
      <c r="B250" s="10">
        <f>IFERROR(LEFT(A250,FIND("-",A250)-1),"")</f>
        <v/>
      </c>
      <c r="C250" s="11" t="inlineStr">
        <is>
          <t>UNPLUG THE MOUSE: full registration + checkout by keyboard only</t>
        </is>
      </c>
      <c r="D250" s="12" t="n"/>
      <c r="E250" s="13" t="n"/>
      <c r="F250" s="13" t="n"/>
      <c r="G250" s="14" t="n"/>
      <c r="H250" s="14" t="n"/>
      <c r="I250" s="13" t="n"/>
      <c r="J250" s="13" t="n"/>
      <c r="K250" s="13" t="n"/>
      <c r="L250" s="13" t="n"/>
      <c r="M250" s="13" t="n"/>
      <c r="N250" s="13" t="n"/>
      <c r="O250" s="14" t="n"/>
    </row>
    <row r="251" ht="15" customHeight="1">
      <c r="A251" s="9" t="inlineStr">
        <is>
          <t>Y-02</t>
        </is>
      </c>
      <c r="B251" s="10">
        <f>IFERROR(LEFT(A251,FIND("-",A251)-1),"")</f>
        <v/>
      </c>
      <c r="C251" s="11" t="inlineStr">
        <is>
          <t>Is the focus ring always visible when tabbing?</t>
        </is>
      </c>
      <c r="D251" s="12" t="n"/>
      <c r="E251" s="13" t="n"/>
      <c r="F251" s="13" t="n"/>
      <c r="G251" s="14" t="n"/>
      <c r="H251" s="14" t="n"/>
      <c r="I251" s="13" t="n"/>
      <c r="J251" s="13" t="n"/>
      <c r="K251" s="13" t="n"/>
      <c r="L251" s="13" t="n"/>
      <c r="M251" s="13" t="n"/>
      <c r="N251" s="13" t="n"/>
      <c r="O251" s="14" t="n"/>
    </row>
    <row r="252" ht="15" customHeight="1">
      <c r="A252" s="9" t="inlineStr">
        <is>
          <t>Y-03</t>
        </is>
      </c>
      <c r="B252" s="10">
        <f>IFERROR(LEFT(A252,FIND("-",A252)-1),"")</f>
        <v/>
      </c>
      <c r="C252" s="11" t="inlineStr">
        <is>
          <t>*** Press ENTER and SPACE on buttons - never verified by a human ***</t>
        </is>
      </c>
      <c r="D252" s="12" t="n"/>
      <c r="E252" s="13" t="n"/>
      <c r="F252" s="13" t="n"/>
      <c r="G252" s="14" t="n"/>
      <c r="H252" s="14" t="n"/>
      <c r="I252" s="13" t="n"/>
      <c r="J252" s="13" t="n"/>
      <c r="K252" s="13" t="n"/>
      <c r="L252" s="13" t="n"/>
      <c r="M252" s="13" t="n"/>
      <c r="N252" s="13" t="n"/>
      <c r="O252" s="14" t="n"/>
    </row>
    <row r="253" ht="15" customHeight="1">
      <c r="A253" s="9" t="inlineStr">
        <is>
          <t>Y-04</t>
        </is>
      </c>
      <c r="B253" s="10">
        <f>IFERROR(LEFT(A253,FIND("-",A253)-1),"")</f>
        <v/>
      </c>
      <c r="C253" s="11" t="inlineStr">
        <is>
          <t>Open a modal, Tab repeatedly (focus must stay inside)</t>
        </is>
      </c>
      <c r="D253" s="12" t="n"/>
      <c r="E253" s="13" t="n"/>
      <c r="F253" s="13" t="n"/>
      <c r="G253" s="14" t="n"/>
      <c r="H253" s="14" t="n"/>
      <c r="I253" s="13" t="n"/>
      <c r="J253" s="13" t="n"/>
      <c r="K253" s="13" t="n"/>
      <c r="L253" s="13" t="n"/>
      <c r="M253" s="13" t="n"/>
      <c r="N253" s="13" t="n"/>
      <c r="O253" s="14" t="n"/>
    </row>
    <row r="254" ht="15" customHeight="1">
      <c r="A254" s="9" t="inlineStr">
        <is>
          <t>Y-05</t>
        </is>
      </c>
      <c r="B254" s="10">
        <f>IFERROR(LEFT(A254,FIND("-",A254)-1),"")</f>
        <v/>
      </c>
      <c r="C254" s="11" t="inlineStr">
        <is>
          <t>Escape in a modal with unsaved changes</t>
        </is>
      </c>
      <c r="D254" s="12" t="n"/>
      <c r="E254" s="13" t="n"/>
      <c r="F254" s="13" t="n"/>
      <c r="G254" s="14" t="n"/>
      <c r="H254" s="14" t="n"/>
      <c r="I254" s="13" t="n"/>
      <c r="J254" s="13" t="n"/>
      <c r="K254" s="13" t="n"/>
      <c r="L254" s="13" t="n"/>
      <c r="M254" s="13" t="n"/>
      <c r="N254" s="13" t="n"/>
      <c r="O254" s="14" t="n"/>
    </row>
    <row r="255" ht="15" customHeight="1">
      <c r="A255" s="9" t="inlineStr">
        <is>
          <t>Y-06</t>
        </is>
      </c>
      <c r="B255" s="10">
        <f>IFERROR(LEFT(A255,FIND("-",A255)-1),"")</f>
        <v/>
      </c>
      <c r="C255" s="11" t="inlineStr">
        <is>
          <t>Escape with two dialogs stacked</t>
        </is>
      </c>
      <c r="D255" s="12" t="n"/>
      <c r="E255" s="13" t="n"/>
      <c r="F255" s="13" t="n"/>
      <c r="G255" s="14" t="n"/>
      <c r="H255" s="14" t="n"/>
      <c r="I255" s="13" t="n"/>
      <c r="J255" s="13" t="n"/>
      <c r="K255" s="13" t="n"/>
      <c r="L255" s="13" t="n"/>
      <c r="M255" s="13" t="n"/>
      <c r="N255" s="13" t="n"/>
      <c r="O255" s="14" t="n"/>
    </row>
    <row r="256" ht="15" customHeight="1">
      <c r="A256" s="9" t="inlineStr">
        <is>
          <t>Y-07</t>
        </is>
      </c>
      <c r="B256" s="10">
        <f>IFERROR(LEFT(A256,FIND("-",A256)-1),"")</f>
        <v/>
      </c>
      <c r="C256" s="11" t="inlineStr">
        <is>
          <t>Close a modal - does focus return to what opened it?</t>
        </is>
      </c>
      <c r="D256" s="12" t="n"/>
      <c r="E256" s="13" t="n"/>
      <c r="F256" s="13" t="n"/>
      <c r="G256" s="14" t="n"/>
      <c r="H256" s="14" t="n"/>
      <c r="I256" s="13" t="n"/>
      <c r="J256" s="13" t="n"/>
      <c r="K256" s="13" t="n"/>
      <c r="L256" s="13" t="n"/>
      <c r="M256" s="13" t="n"/>
      <c r="N256" s="13" t="n"/>
      <c r="O256" s="14" t="n"/>
    </row>
    <row r="257" ht="15" customHeight="1">
      <c r="A257" s="9" t="inlineStr">
        <is>
          <t>Y-08</t>
        </is>
      </c>
      <c r="B257" s="10">
        <f>IFERROR(LEFT(A257,FIND("-",A257)-1),"")</f>
        <v/>
      </c>
      <c r="C257" s="11" t="inlineStr">
        <is>
          <t>Tab order on a long form (Profile)</t>
        </is>
      </c>
      <c r="D257" s="12" t="n"/>
      <c r="E257" s="13" t="n"/>
      <c r="F257" s="13" t="n"/>
      <c r="G257" s="14" t="n"/>
      <c r="H257" s="14" t="n"/>
      <c r="I257" s="13" t="n"/>
      <c r="J257" s="13" t="n"/>
      <c r="K257" s="13" t="n"/>
      <c r="L257" s="13" t="n"/>
      <c r="M257" s="13" t="n"/>
      <c r="N257" s="13" t="n"/>
      <c r="O257" s="14" t="n"/>
    </row>
    <row r="258" ht="15" customHeight="1">
      <c r="A258" s="9" t="inlineStr">
        <is>
          <t>Y-09</t>
        </is>
      </c>
      <c r="B258" s="10">
        <f>IFERROR(LEFT(A258,FIND("-",A258)-1),"")</f>
        <v/>
      </c>
      <c r="C258" s="11" t="inlineStr">
        <is>
          <t>Squint-test every screen for low-contrast text</t>
        </is>
      </c>
      <c r="D258" s="12" t="n"/>
      <c r="E258" s="13" t="n"/>
      <c r="F258" s="13" t="n"/>
      <c r="G258" s="14" t="n"/>
      <c r="H258" s="14" t="n"/>
      <c r="I258" s="13" t="n"/>
      <c r="J258" s="13" t="n"/>
      <c r="K258" s="13" t="n"/>
      <c r="L258" s="13" t="n"/>
      <c r="M258" s="13" t="n"/>
      <c r="N258" s="13" t="n"/>
      <c r="O258" s="14" t="n"/>
    </row>
    <row r="259" ht="15" customHeight="1">
      <c r="A259" s="9" t="inlineStr">
        <is>
          <t>Y-10</t>
        </is>
      </c>
      <c r="B259" s="10">
        <f>IFERROR(LEFT(A259,FIND("-",A259)-1),"")</f>
        <v/>
      </c>
      <c r="C259" s="11" t="inlineStr">
        <is>
          <t>VoiceOver/Narrator skim of the Profile page (if available)</t>
        </is>
      </c>
      <c r="D259" s="12" t="n"/>
      <c r="E259" s="13" t="n"/>
      <c r="F259" s="13" t="n"/>
      <c r="G259" s="14" t="n"/>
      <c r="H259" s="14" t="n"/>
      <c r="I259" s="13" t="n"/>
      <c r="J259" s="13" t="n"/>
      <c r="K259" s="13" t="n"/>
      <c r="L259" s="13" t="n"/>
      <c r="M259" s="13" t="n"/>
      <c r="N259" s="13" t="n"/>
      <c r="O259" s="14" t="n"/>
    </row>
    <row r="260">
      <c r="A260" s="15" t="inlineStr">
        <is>
          <t>EXTRA  -  findings not tied to a step (use e.g. M-X-01)</t>
        </is>
      </c>
    </row>
    <row r="261">
      <c r="A261" s="12" t="n"/>
      <c r="B261" s="13">
        <f>IFERROR(LEFT(A261,FIND("-",A261)-1),"")</f>
        <v/>
      </c>
      <c r="C261" s="14" t="n"/>
      <c r="D261" s="12" t="n"/>
      <c r="E261" s="13" t="n"/>
      <c r="F261" s="13" t="n"/>
      <c r="G261" s="14" t="n"/>
      <c r="H261" s="14" t="n"/>
      <c r="I261" s="13" t="n"/>
      <c r="J261" s="13" t="n"/>
      <c r="K261" s="13" t="n"/>
      <c r="L261" s="13" t="n"/>
      <c r="M261" s="13" t="n"/>
      <c r="N261" s="13" t="n"/>
      <c r="O261" s="14" t="n"/>
    </row>
    <row r="262">
      <c r="A262" s="12" t="n"/>
      <c r="B262" s="13">
        <f>IFERROR(LEFT(A262,FIND("-",A262)-1),"")</f>
        <v/>
      </c>
      <c r="C262" s="14" t="n"/>
      <c r="D262" s="12" t="n"/>
      <c r="E262" s="13" t="n"/>
      <c r="F262" s="13" t="n"/>
      <c r="G262" s="14" t="n"/>
      <c r="H262" s="14" t="n"/>
      <c r="I262" s="13" t="n"/>
      <c r="J262" s="13" t="n"/>
      <c r="K262" s="13" t="n"/>
      <c r="L262" s="13" t="n"/>
      <c r="M262" s="13" t="n"/>
      <c r="N262" s="13" t="n"/>
      <c r="O262" s="14" t="n"/>
    </row>
    <row r="263">
      <c r="A263" s="12" t="n"/>
      <c r="B263" s="13">
        <f>IFERROR(LEFT(A263,FIND("-",A263)-1),"")</f>
        <v/>
      </c>
      <c r="C263" s="14" t="n"/>
      <c r="D263" s="12" t="n"/>
      <c r="E263" s="13" t="n"/>
      <c r="F263" s="13" t="n"/>
      <c r="G263" s="14" t="n"/>
      <c r="H263" s="14" t="n"/>
      <c r="I263" s="13" t="n"/>
      <c r="J263" s="13" t="n"/>
      <c r="K263" s="13" t="n"/>
      <c r="L263" s="13" t="n"/>
      <c r="M263" s="13" t="n"/>
      <c r="N263" s="13" t="n"/>
      <c r="O263" s="14" t="n"/>
    </row>
    <row r="264">
      <c r="A264" s="12" t="n"/>
      <c r="B264" s="13">
        <f>IFERROR(LEFT(A264,FIND("-",A264)-1),"")</f>
        <v/>
      </c>
      <c r="C264" s="14" t="n"/>
      <c r="D264" s="12" t="n"/>
      <c r="E264" s="13" t="n"/>
      <c r="F264" s="13" t="n"/>
      <c r="G264" s="14" t="n"/>
      <c r="H264" s="14" t="n"/>
      <c r="I264" s="13" t="n"/>
      <c r="J264" s="13" t="n"/>
      <c r="K264" s="13" t="n"/>
      <c r="L264" s="13" t="n"/>
      <c r="M264" s="13" t="n"/>
      <c r="N264" s="13" t="n"/>
      <c r="O264" s="14" t="n"/>
    </row>
    <row r="265">
      <c r="A265" s="12" t="n"/>
      <c r="B265" s="13">
        <f>IFERROR(LEFT(A265,FIND("-",A265)-1),"")</f>
        <v/>
      </c>
      <c r="C265" s="14" t="n"/>
      <c r="D265" s="12" t="n"/>
      <c r="E265" s="13" t="n"/>
      <c r="F265" s="13" t="n"/>
      <c r="G265" s="14" t="n"/>
      <c r="H265" s="14" t="n"/>
      <c r="I265" s="13" t="n"/>
      <c r="J265" s="13" t="n"/>
      <c r="K265" s="13" t="n"/>
      <c r="L265" s="13" t="n"/>
      <c r="M265" s="13" t="n"/>
      <c r="N265" s="13" t="n"/>
      <c r="O265" s="14" t="n"/>
    </row>
    <row r="266">
      <c r="A266" s="12" t="n"/>
      <c r="B266" s="13">
        <f>IFERROR(LEFT(A266,FIND("-",A266)-1),"")</f>
        <v/>
      </c>
      <c r="C266" s="14" t="n"/>
      <c r="D266" s="12" t="n"/>
      <c r="E266" s="13" t="n"/>
      <c r="F266" s="13" t="n"/>
      <c r="G266" s="14" t="n"/>
      <c r="H266" s="14" t="n"/>
      <c r="I266" s="13" t="n"/>
      <c r="J266" s="13" t="n"/>
      <c r="K266" s="13" t="n"/>
      <c r="L266" s="13" t="n"/>
      <c r="M266" s="13" t="n"/>
      <c r="N266" s="13" t="n"/>
      <c r="O266" s="14" t="n"/>
    </row>
    <row r="267">
      <c r="A267" s="12" t="n"/>
      <c r="B267" s="13">
        <f>IFERROR(LEFT(A267,FIND("-",A267)-1),"")</f>
        <v/>
      </c>
      <c r="C267" s="14" t="n"/>
      <c r="D267" s="12" t="n"/>
      <c r="E267" s="13" t="n"/>
      <c r="F267" s="13" t="n"/>
      <c r="G267" s="14" t="n"/>
      <c r="H267" s="14" t="n"/>
      <c r="I267" s="13" t="n"/>
      <c r="J267" s="13" t="n"/>
      <c r="K267" s="13" t="n"/>
      <c r="L267" s="13" t="n"/>
      <c r="M267" s="13" t="n"/>
      <c r="N267" s="13" t="n"/>
      <c r="O267" s="14" t="n"/>
    </row>
    <row r="268">
      <c r="A268" s="12" t="n"/>
      <c r="B268" s="13">
        <f>IFERROR(LEFT(A268,FIND("-",A268)-1),"")</f>
        <v/>
      </c>
      <c r="C268" s="14" t="n"/>
      <c r="D268" s="12" t="n"/>
      <c r="E268" s="13" t="n"/>
      <c r="F268" s="13" t="n"/>
      <c r="G268" s="14" t="n"/>
      <c r="H268" s="14" t="n"/>
      <c r="I268" s="13" t="n"/>
      <c r="J268" s="13" t="n"/>
      <c r="K268" s="13" t="n"/>
      <c r="L268" s="13" t="n"/>
      <c r="M268" s="13" t="n"/>
      <c r="N268" s="13" t="n"/>
      <c r="O268" s="14" t="n"/>
    </row>
    <row r="269">
      <c r="A269" s="12" t="n"/>
      <c r="B269" s="13">
        <f>IFERROR(LEFT(A269,FIND("-",A269)-1),"")</f>
        <v/>
      </c>
      <c r="C269" s="14" t="n"/>
      <c r="D269" s="12" t="n"/>
      <c r="E269" s="13" t="n"/>
      <c r="F269" s="13" t="n"/>
      <c r="G269" s="14" t="n"/>
      <c r="H269" s="14" t="n"/>
      <c r="I269" s="13" t="n"/>
      <c r="J269" s="13" t="n"/>
      <c r="K269" s="13" t="n"/>
      <c r="L269" s="13" t="n"/>
      <c r="M269" s="13" t="n"/>
      <c r="N269" s="13" t="n"/>
      <c r="O269" s="14" t="n"/>
    </row>
    <row r="270">
      <c r="A270" s="12" t="n"/>
      <c r="B270" s="13">
        <f>IFERROR(LEFT(A270,FIND("-",A270)-1),"")</f>
        <v/>
      </c>
      <c r="C270" s="14" t="n"/>
      <c r="D270" s="12" t="n"/>
      <c r="E270" s="13" t="n"/>
      <c r="F270" s="13" t="n"/>
      <c r="G270" s="14" t="n"/>
      <c r="H270" s="14" t="n"/>
      <c r="I270" s="13" t="n"/>
      <c r="J270" s="13" t="n"/>
      <c r="K270" s="13" t="n"/>
      <c r="L270" s="13" t="n"/>
      <c r="M270" s="13" t="n"/>
      <c r="N270" s="13" t="n"/>
      <c r="O270" s="14" t="n"/>
    </row>
    <row r="271">
      <c r="A271" s="12" t="n"/>
      <c r="B271" s="13">
        <f>IFERROR(LEFT(A271,FIND("-",A271)-1),"")</f>
        <v/>
      </c>
      <c r="C271" s="14" t="n"/>
      <c r="D271" s="12" t="n"/>
      <c r="E271" s="13" t="n"/>
      <c r="F271" s="13" t="n"/>
      <c r="G271" s="14" t="n"/>
      <c r="H271" s="14" t="n"/>
      <c r="I271" s="13" t="n"/>
      <c r="J271" s="13" t="n"/>
      <c r="K271" s="13" t="n"/>
      <c r="L271" s="13" t="n"/>
      <c r="M271" s="13" t="n"/>
      <c r="N271" s="13" t="n"/>
      <c r="O271" s="14" t="n"/>
    </row>
    <row r="272">
      <c r="A272" s="12" t="n"/>
      <c r="B272" s="13">
        <f>IFERROR(LEFT(A272,FIND("-",A272)-1),"")</f>
        <v/>
      </c>
      <c r="C272" s="14" t="n"/>
      <c r="D272" s="12" t="n"/>
      <c r="E272" s="13" t="n"/>
      <c r="F272" s="13" t="n"/>
      <c r="G272" s="14" t="n"/>
      <c r="H272" s="14" t="n"/>
      <c r="I272" s="13" t="n"/>
      <c r="J272" s="13" t="n"/>
      <c r="K272" s="13" t="n"/>
      <c r="L272" s="13" t="n"/>
      <c r="M272" s="13" t="n"/>
      <c r="N272" s="13" t="n"/>
      <c r="O272" s="14" t="n"/>
    </row>
    <row r="273">
      <c r="A273" s="12" t="n"/>
      <c r="B273" s="13">
        <f>IFERROR(LEFT(A273,FIND("-",A273)-1),"")</f>
        <v/>
      </c>
      <c r="C273" s="14" t="n"/>
      <c r="D273" s="12" t="n"/>
      <c r="E273" s="13" t="n"/>
      <c r="F273" s="13" t="n"/>
      <c r="G273" s="14" t="n"/>
      <c r="H273" s="14" t="n"/>
      <c r="I273" s="13" t="n"/>
      <c r="J273" s="13" t="n"/>
      <c r="K273" s="13" t="n"/>
      <c r="L273" s="13" t="n"/>
      <c r="M273" s="13" t="n"/>
      <c r="N273" s="13" t="n"/>
      <c r="O273" s="14" t="n"/>
    </row>
    <row r="274">
      <c r="A274" s="12" t="n"/>
      <c r="B274" s="13">
        <f>IFERROR(LEFT(A274,FIND("-",A274)-1),"")</f>
        <v/>
      </c>
      <c r="C274" s="14" t="n"/>
      <c r="D274" s="12" t="n"/>
      <c r="E274" s="13" t="n"/>
      <c r="F274" s="13" t="n"/>
      <c r="G274" s="14" t="n"/>
      <c r="H274" s="14" t="n"/>
      <c r="I274" s="13" t="n"/>
      <c r="J274" s="13" t="n"/>
      <c r="K274" s="13" t="n"/>
      <c r="L274" s="13" t="n"/>
      <c r="M274" s="13" t="n"/>
      <c r="N274" s="13" t="n"/>
      <c r="O274" s="14" t="n"/>
    </row>
    <row r="275">
      <c r="A275" s="12" t="n"/>
      <c r="B275" s="13">
        <f>IFERROR(LEFT(A275,FIND("-",A275)-1),"")</f>
        <v/>
      </c>
      <c r="C275" s="14" t="n"/>
      <c r="D275" s="12" t="n"/>
      <c r="E275" s="13" t="n"/>
      <c r="F275" s="13" t="n"/>
      <c r="G275" s="14" t="n"/>
      <c r="H275" s="14" t="n"/>
      <c r="I275" s="13" t="n"/>
      <c r="J275" s="13" t="n"/>
      <c r="K275" s="13" t="n"/>
      <c r="L275" s="13" t="n"/>
      <c r="M275" s="13" t="n"/>
      <c r="N275" s="13" t="n"/>
      <c r="O275" s="14" t="n"/>
    </row>
    <row r="276">
      <c r="A276" s="12" t="n"/>
      <c r="B276" s="13">
        <f>IFERROR(LEFT(A276,FIND("-",A276)-1),"")</f>
        <v/>
      </c>
      <c r="C276" s="14" t="n"/>
      <c r="D276" s="12" t="n"/>
      <c r="E276" s="13" t="n"/>
      <c r="F276" s="13" t="n"/>
      <c r="G276" s="14" t="n"/>
      <c r="H276" s="14" t="n"/>
      <c r="I276" s="13" t="n"/>
      <c r="J276" s="13" t="n"/>
      <c r="K276" s="13" t="n"/>
      <c r="L276" s="13" t="n"/>
      <c r="M276" s="13" t="n"/>
      <c r="N276" s="13" t="n"/>
      <c r="O276" s="14" t="n"/>
    </row>
    <row r="277">
      <c r="A277" s="12" t="n"/>
      <c r="B277" s="13">
        <f>IFERROR(LEFT(A277,FIND("-",A277)-1),"")</f>
        <v/>
      </c>
      <c r="C277" s="14" t="n"/>
      <c r="D277" s="12" t="n"/>
      <c r="E277" s="13" t="n"/>
      <c r="F277" s="13" t="n"/>
      <c r="G277" s="14" t="n"/>
      <c r="H277" s="14" t="n"/>
      <c r="I277" s="13" t="n"/>
      <c r="J277" s="13" t="n"/>
      <c r="K277" s="13" t="n"/>
      <c r="L277" s="13" t="n"/>
      <c r="M277" s="13" t="n"/>
      <c r="N277" s="13" t="n"/>
      <c r="O277" s="14" t="n"/>
    </row>
    <row r="278">
      <c r="A278" s="12" t="n"/>
      <c r="B278" s="13">
        <f>IFERROR(LEFT(A278,FIND("-",A278)-1),"")</f>
        <v/>
      </c>
      <c r="C278" s="14" t="n"/>
      <c r="D278" s="12" t="n"/>
      <c r="E278" s="13" t="n"/>
      <c r="F278" s="13" t="n"/>
      <c r="G278" s="14" t="n"/>
      <c r="H278" s="14" t="n"/>
      <c r="I278" s="13" t="n"/>
      <c r="J278" s="13" t="n"/>
      <c r="K278" s="13" t="n"/>
      <c r="L278" s="13" t="n"/>
      <c r="M278" s="13" t="n"/>
      <c r="N278" s="13" t="n"/>
      <c r="O278" s="14" t="n"/>
    </row>
    <row r="279">
      <c r="A279" s="12" t="n"/>
      <c r="B279" s="13">
        <f>IFERROR(LEFT(A279,FIND("-",A279)-1),"")</f>
        <v/>
      </c>
      <c r="C279" s="14" t="n"/>
      <c r="D279" s="12" t="n"/>
      <c r="E279" s="13" t="n"/>
      <c r="F279" s="13" t="n"/>
      <c r="G279" s="14" t="n"/>
      <c r="H279" s="14" t="n"/>
      <c r="I279" s="13" t="n"/>
      <c r="J279" s="13" t="n"/>
      <c r="K279" s="13" t="n"/>
      <c r="L279" s="13" t="n"/>
      <c r="M279" s="13" t="n"/>
      <c r="N279" s="13" t="n"/>
      <c r="O279" s="14" t="n"/>
    </row>
    <row r="280">
      <c r="A280" s="12" t="n"/>
      <c r="B280" s="13">
        <f>IFERROR(LEFT(A280,FIND("-",A280)-1),"")</f>
        <v/>
      </c>
      <c r="C280" s="14" t="n"/>
      <c r="D280" s="12" t="n"/>
      <c r="E280" s="13" t="n"/>
      <c r="F280" s="13" t="n"/>
      <c r="G280" s="14" t="n"/>
      <c r="H280" s="14" t="n"/>
      <c r="I280" s="13" t="n"/>
      <c r="J280" s="13" t="n"/>
      <c r="K280" s="13" t="n"/>
      <c r="L280" s="13" t="n"/>
      <c r="M280" s="13" t="n"/>
      <c r="N280" s="13" t="n"/>
      <c r="O280" s="14" t="n"/>
    </row>
    <row r="281">
      <c r="A281" s="12" t="n"/>
      <c r="B281" s="13">
        <f>IFERROR(LEFT(A281,FIND("-",A281)-1),"")</f>
        <v/>
      </c>
      <c r="C281" s="14" t="n"/>
      <c r="D281" s="12" t="n"/>
      <c r="E281" s="13" t="n"/>
      <c r="F281" s="13" t="n"/>
      <c r="G281" s="14" t="n"/>
      <c r="H281" s="14" t="n"/>
      <c r="I281" s="13" t="n"/>
      <c r="J281" s="13" t="n"/>
      <c r="K281" s="13" t="n"/>
      <c r="L281" s="13" t="n"/>
      <c r="M281" s="13" t="n"/>
      <c r="N281" s="13" t="n"/>
      <c r="O281" s="14" t="n"/>
    </row>
    <row r="282">
      <c r="A282" s="12" t="n"/>
      <c r="B282" s="13">
        <f>IFERROR(LEFT(A282,FIND("-",A282)-1),"")</f>
        <v/>
      </c>
      <c r="C282" s="14" t="n"/>
      <c r="D282" s="12" t="n"/>
      <c r="E282" s="13" t="n"/>
      <c r="F282" s="13" t="n"/>
      <c r="G282" s="14" t="n"/>
      <c r="H282" s="14" t="n"/>
      <c r="I282" s="13" t="n"/>
      <c r="J282" s="13" t="n"/>
      <c r="K282" s="13" t="n"/>
      <c r="L282" s="13" t="n"/>
      <c r="M282" s="13" t="n"/>
      <c r="N282" s="13" t="n"/>
      <c r="O282" s="14" t="n"/>
    </row>
    <row r="283">
      <c r="A283" s="12" t="n"/>
      <c r="B283" s="13">
        <f>IFERROR(LEFT(A283,FIND("-",A283)-1),"")</f>
        <v/>
      </c>
      <c r="C283" s="14" t="n"/>
      <c r="D283" s="12" t="n"/>
      <c r="E283" s="13" t="n"/>
      <c r="F283" s="13" t="n"/>
      <c r="G283" s="14" t="n"/>
      <c r="H283" s="14" t="n"/>
      <c r="I283" s="13" t="n"/>
      <c r="J283" s="13" t="n"/>
      <c r="K283" s="13" t="n"/>
      <c r="L283" s="13" t="n"/>
      <c r="M283" s="13" t="n"/>
      <c r="N283" s="13" t="n"/>
      <c r="O283" s="14" t="n"/>
    </row>
    <row r="284">
      <c r="A284" s="12" t="n"/>
      <c r="B284" s="13">
        <f>IFERROR(LEFT(A284,FIND("-",A284)-1),"")</f>
        <v/>
      </c>
      <c r="C284" s="14" t="n"/>
      <c r="D284" s="12" t="n"/>
      <c r="E284" s="13" t="n"/>
      <c r="F284" s="13" t="n"/>
      <c r="G284" s="14" t="n"/>
      <c r="H284" s="14" t="n"/>
      <c r="I284" s="13" t="n"/>
      <c r="J284" s="13" t="n"/>
      <c r="K284" s="13" t="n"/>
      <c r="L284" s="13" t="n"/>
      <c r="M284" s="13" t="n"/>
      <c r="N284" s="13" t="n"/>
      <c r="O284" s="14" t="n"/>
    </row>
    <row r="285">
      <c r="A285" s="12" t="n"/>
      <c r="B285" s="13">
        <f>IFERROR(LEFT(A285,FIND("-",A285)-1),"")</f>
        <v/>
      </c>
      <c r="C285" s="14" t="n"/>
      <c r="D285" s="12" t="n"/>
      <c r="E285" s="13" t="n"/>
      <c r="F285" s="13" t="n"/>
      <c r="G285" s="14" t="n"/>
      <c r="H285" s="14" t="n"/>
      <c r="I285" s="13" t="n"/>
      <c r="J285" s="13" t="n"/>
      <c r="K285" s="13" t="n"/>
      <c r="L285" s="13" t="n"/>
      <c r="M285" s="13" t="n"/>
      <c r="N285" s="13" t="n"/>
      <c r="O285" s="14" t="n"/>
    </row>
    <row r="286">
      <c r="A286" s="12" t="n"/>
      <c r="B286" s="13">
        <f>IFERROR(LEFT(A286,FIND("-",A286)-1),"")</f>
        <v/>
      </c>
      <c r="C286" s="14" t="n"/>
      <c r="D286" s="12" t="n"/>
      <c r="E286" s="13" t="n"/>
      <c r="F286" s="13" t="n"/>
      <c r="G286" s="14" t="n"/>
      <c r="H286" s="14" t="n"/>
      <c r="I286" s="13" t="n"/>
      <c r="J286" s="13" t="n"/>
      <c r="K286" s="13" t="n"/>
      <c r="L286" s="13" t="n"/>
      <c r="M286" s="13" t="n"/>
      <c r="N286" s="13" t="n"/>
      <c r="O286" s="14" t="n"/>
    </row>
    <row r="287">
      <c r="A287" s="12" t="n"/>
      <c r="B287" s="13">
        <f>IFERROR(LEFT(A287,FIND("-",A287)-1),"")</f>
        <v/>
      </c>
      <c r="C287" s="14" t="n"/>
      <c r="D287" s="12" t="n"/>
      <c r="E287" s="13" t="n"/>
      <c r="F287" s="13" t="n"/>
      <c r="G287" s="14" t="n"/>
      <c r="H287" s="14" t="n"/>
      <c r="I287" s="13" t="n"/>
      <c r="J287" s="13" t="n"/>
      <c r="K287" s="13" t="n"/>
      <c r="L287" s="13" t="n"/>
      <c r="M287" s="13" t="n"/>
      <c r="N287" s="13" t="n"/>
      <c r="O287" s="14" t="n"/>
    </row>
    <row r="288">
      <c r="A288" s="12" t="n"/>
      <c r="B288" s="13">
        <f>IFERROR(LEFT(A288,FIND("-",A288)-1),"")</f>
        <v/>
      </c>
      <c r="C288" s="14" t="n"/>
      <c r="D288" s="12" t="n"/>
      <c r="E288" s="13" t="n"/>
      <c r="F288" s="13" t="n"/>
      <c r="G288" s="14" t="n"/>
      <c r="H288" s="14" t="n"/>
      <c r="I288" s="13" t="n"/>
      <c r="J288" s="13" t="n"/>
      <c r="K288" s="13" t="n"/>
      <c r="L288" s="13" t="n"/>
      <c r="M288" s="13" t="n"/>
      <c r="N288" s="13" t="n"/>
      <c r="O288" s="14" t="n"/>
    </row>
    <row r="289">
      <c r="A289" s="12" t="n"/>
      <c r="B289" s="13">
        <f>IFERROR(LEFT(A289,FIND("-",A289)-1),"")</f>
        <v/>
      </c>
      <c r="C289" s="14" t="n"/>
      <c r="D289" s="12" t="n"/>
      <c r="E289" s="13" t="n"/>
      <c r="F289" s="13" t="n"/>
      <c r="G289" s="14" t="n"/>
      <c r="H289" s="14" t="n"/>
      <c r="I289" s="13" t="n"/>
      <c r="J289" s="13" t="n"/>
      <c r="K289" s="13" t="n"/>
      <c r="L289" s="13" t="n"/>
      <c r="M289" s="13" t="n"/>
      <c r="N289" s="13" t="n"/>
      <c r="O289" s="14" t="n"/>
    </row>
    <row r="290">
      <c r="A290" s="12" t="n"/>
      <c r="B290" s="13">
        <f>IFERROR(LEFT(A290,FIND("-",A290)-1),"")</f>
        <v/>
      </c>
      <c r="C290" s="14" t="n"/>
      <c r="D290" s="12" t="n"/>
      <c r="E290" s="13" t="n"/>
      <c r="F290" s="13" t="n"/>
      <c r="G290" s="14" t="n"/>
      <c r="H290" s="14" t="n"/>
      <c r="I290" s="13" t="n"/>
      <c r="J290" s="13" t="n"/>
      <c r="K290" s="13" t="n"/>
      <c r="L290" s="13" t="n"/>
      <c r="M290" s="13" t="n"/>
      <c r="N290" s="13" t="n"/>
      <c r="O290" s="14" t="n"/>
    </row>
    <row r="291">
      <c r="A291" s="12" t="n"/>
      <c r="B291" s="13">
        <f>IFERROR(LEFT(A291,FIND("-",A291)-1),"")</f>
        <v/>
      </c>
      <c r="C291" s="14" t="n"/>
      <c r="D291" s="12" t="n"/>
      <c r="E291" s="13" t="n"/>
      <c r="F291" s="13" t="n"/>
      <c r="G291" s="14" t="n"/>
      <c r="H291" s="14" t="n"/>
      <c r="I291" s="13" t="n"/>
      <c r="J291" s="13" t="n"/>
      <c r="K291" s="13" t="n"/>
      <c r="L291" s="13" t="n"/>
      <c r="M291" s="13" t="n"/>
      <c r="N291" s="13" t="n"/>
      <c r="O291" s="14" t="n"/>
    </row>
    <row r="292">
      <c r="A292" s="12" t="n"/>
      <c r="B292" s="13">
        <f>IFERROR(LEFT(A292,FIND("-",A292)-1),"")</f>
        <v/>
      </c>
      <c r="C292" s="14" t="n"/>
      <c r="D292" s="12" t="n"/>
      <c r="E292" s="13" t="n"/>
      <c r="F292" s="13" t="n"/>
      <c r="G292" s="14" t="n"/>
      <c r="H292" s="14" t="n"/>
      <c r="I292" s="13" t="n"/>
      <c r="J292" s="13" t="n"/>
      <c r="K292" s="13" t="n"/>
      <c r="L292" s="13" t="n"/>
      <c r="M292" s="13" t="n"/>
      <c r="N292" s="13" t="n"/>
      <c r="O292" s="14" t="n"/>
    </row>
    <row r="293">
      <c r="A293" s="12" t="n"/>
      <c r="B293" s="13">
        <f>IFERROR(LEFT(A293,FIND("-",A293)-1),"")</f>
        <v/>
      </c>
      <c r="C293" s="14" t="n"/>
      <c r="D293" s="12" t="n"/>
      <c r="E293" s="13" t="n"/>
      <c r="F293" s="13" t="n"/>
      <c r="G293" s="14" t="n"/>
      <c r="H293" s="14" t="n"/>
      <c r="I293" s="13" t="n"/>
      <c r="J293" s="13" t="n"/>
      <c r="K293" s="13" t="n"/>
      <c r="L293" s="13" t="n"/>
      <c r="M293" s="13" t="n"/>
      <c r="N293" s="13" t="n"/>
      <c r="O293" s="14" t="n"/>
    </row>
    <row r="294">
      <c r="A294" s="12" t="n"/>
      <c r="B294" s="13">
        <f>IFERROR(LEFT(A294,FIND("-",A294)-1),"")</f>
        <v/>
      </c>
      <c r="C294" s="14" t="n"/>
      <c r="D294" s="12" t="n"/>
      <c r="E294" s="13" t="n"/>
      <c r="F294" s="13" t="n"/>
      <c r="G294" s="14" t="n"/>
      <c r="H294" s="14" t="n"/>
      <c r="I294" s="13" t="n"/>
      <c r="J294" s="13" t="n"/>
      <c r="K294" s="13" t="n"/>
      <c r="L294" s="13" t="n"/>
      <c r="M294" s="13" t="n"/>
      <c r="N294" s="13" t="n"/>
      <c r="O294" s="14" t="n"/>
    </row>
    <row r="295">
      <c r="A295" s="12" t="n"/>
      <c r="B295" s="13">
        <f>IFERROR(LEFT(A295,FIND("-",A295)-1),"")</f>
        <v/>
      </c>
      <c r="C295" s="14" t="n"/>
      <c r="D295" s="12" t="n"/>
      <c r="E295" s="13" t="n"/>
      <c r="F295" s="13" t="n"/>
      <c r="G295" s="14" t="n"/>
      <c r="H295" s="14" t="n"/>
      <c r="I295" s="13" t="n"/>
      <c r="J295" s="13" t="n"/>
      <c r="K295" s="13" t="n"/>
      <c r="L295" s="13" t="n"/>
      <c r="M295" s="13" t="n"/>
      <c r="N295" s="13" t="n"/>
      <c r="O295" s="14" t="n"/>
    </row>
    <row r="296">
      <c r="A296" s="12" t="n"/>
      <c r="B296" s="13">
        <f>IFERROR(LEFT(A296,FIND("-",A296)-1),"")</f>
        <v/>
      </c>
      <c r="C296" s="14" t="n"/>
      <c r="D296" s="12" t="n"/>
      <c r="E296" s="13" t="n"/>
      <c r="F296" s="13" t="n"/>
      <c r="G296" s="14" t="n"/>
      <c r="H296" s="14" t="n"/>
      <c r="I296" s="13" t="n"/>
      <c r="J296" s="13" t="n"/>
      <c r="K296" s="13" t="n"/>
      <c r="L296" s="13" t="n"/>
      <c r="M296" s="13" t="n"/>
      <c r="N296" s="13" t="n"/>
      <c r="O296" s="14" t="n"/>
    </row>
    <row r="297">
      <c r="A297" s="12" t="n"/>
      <c r="B297" s="13">
        <f>IFERROR(LEFT(A297,FIND("-",A297)-1),"")</f>
        <v/>
      </c>
      <c r="C297" s="14" t="n"/>
      <c r="D297" s="12" t="n"/>
      <c r="E297" s="13" t="n"/>
      <c r="F297" s="13" t="n"/>
      <c r="G297" s="14" t="n"/>
      <c r="H297" s="14" t="n"/>
      <c r="I297" s="13" t="n"/>
      <c r="J297" s="13" t="n"/>
      <c r="K297" s="13" t="n"/>
      <c r="L297" s="13" t="n"/>
      <c r="M297" s="13" t="n"/>
      <c r="N297" s="13" t="n"/>
      <c r="O297" s="14" t="n"/>
    </row>
    <row r="298">
      <c r="A298" s="12" t="n"/>
      <c r="B298" s="13">
        <f>IFERROR(LEFT(A298,FIND("-",A298)-1),"")</f>
        <v/>
      </c>
      <c r="C298" s="14" t="n"/>
      <c r="D298" s="12" t="n"/>
      <c r="E298" s="13" t="n"/>
      <c r="F298" s="13" t="n"/>
      <c r="G298" s="14" t="n"/>
      <c r="H298" s="14" t="n"/>
      <c r="I298" s="13" t="n"/>
      <c r="J298" s="13" t="n"/>
      <c r="K298" s="13" t="n"/>
      <c r="L298" s="13" t="n"/>
      <c r="M298" s="13" t="n"/>
      <c r="N298" s="13" t="n"/>
      <c r="O298" s="14" t="n"/>
    </row>
    <row r="299">
      <c r="A299" s="12" t="n"/>
      <c r="B299" s="13">
        <f>IFERROR(LEFT(A299,FIND("-",A299)-1),"")</f>
        <v/>
      </c>
      <c r="C299" s="14" t="n"/>
      <c r="D299" s="12" t="n"/>
      <c r="E299" s="13" t="n"/>
      <c r="F299" s="13" t="n"/>
      <c r="G299" s="14" t="n"/>
      <c r="H299" s="14" t="n"/>
      <c r="I299" s="13" t="n"/>
      <c r="J299" s="13" t="n"/>
      <c r="K299" s="13" t="n"/>
      <c r="L299" s="13" t="n"/>
      <c r="M299" s="13" t="n"/>
      <c r="N299" s="13" t="n"/>
      <c r="O299" s="14" t="n"/>
    </row>
    <row r="300">
      <c r="A300" s="12" t="n"/>
      <c r="B300" s="13">
        <f>IFERROR(LEFT(A300,FIND("-",A300)-1),"")</f>
        <v/>
      </c>
      <c r="C300" s="14" t="n"/>
      <c r="D300" s="12" t="n"/>
      <c r="E300" s="13" t="n"/>
      <c r="F300" s="13" t="n"/>
      <c r="G300" s="14" t="n"/>
      <c r="H300" s="14" t="n"/>
      <c r="I300" s="13" t="n"/>
      <c r="J300" s="13" t="n"/>
      <c r="K300" s="13" t="n"/>
      <c r="L300" s="13" t="n"/>
      <c r="M300" s="13" t="n"/>
      <c r="N300" s="13" t="n"/>
      <c r="O300" s="14" t="n"/>
    </row>
    <row r="301">
      <c r="A301" s="12" t="n"/>
      <c r="B301" s="13">
        <f>IFERROR(LEFT(A301,FIND("-",A301)-1),"")</f>
        <v/>
      </c>
      <c r="C301" s="14" t="n"/>
      <c r="D301" s="12" t="n"/>
      <c r="E301" s="13" t="n"/>
      <c r="F301" s="13" t="n"/>
      <c r="G301" s="14" t="n"/>
      <c r="H301" s="14" t="n"/>
      <c r="I301" s="13" t="n"/>
      <c r="J301" s="13" t="n"/>
      <c r="K301" s="13" t="n"/>
      <c r="L301" s="13" t="n"/>
      <c r="M301" s="13" t="n"/>
      <c r="N301" s="13" t="n"/>
      <c r="O301" s="14" t="n"/>
    </row>
    <row r="302">
      <c r="A302" s="12" t="n"/>
      <c r="B302" s="13">
        <f>IFERROR(LEFT(A302,FIND("-",A302)-1),"")</f>
        <v/>
      </c>
      <c r="C302" s="14" t="n"/>
      <c r="D302" s="12" t="n"/>
      <c r="E302" s="13" t="n"/>
      <c r="F302" s="13" t="n"/>
      <c r="G302" s="14" t="n"/>
      <c r="H302" s="14" t="n"/>
      <c r="I302" s="13" t="n"/>
      <c r="J302" s="13" t="n"/>
      <c r="K302" s="13" t="n"/>
      <c r="L302" s="13" t="n"/>
      <c r="M302" s="13" t="n"/>
      <c r="N302" s="13" t="n"/>
      <c r="O302" s="14" t="n"/>
    </row>
    <row r="303">
      <c r="A303" s="12" t="n"/>
      <c r="B303" s="13">
        <f>IFERROR(LEFT(A303,FIND("-",A303)-1),"")</f>
        <v/>
      </c>
      <c r="C303" s="14" t="n"/>
      <c r="D303" s="12" t="n"/>
      <c r="E303" s="13" t="n"/>
      <c r="F303" s="13" t="n"/>
      <c r="G303" s="14" t="n"/>
      <c r="H303" s="14" t="n"/>
      <c r="I303" s="13" t="n"/>
      <c r="J303" s="13" t="n"/>
      <c r="K303" s="13" t="n"/>
      <c r="L303" s="13" t="n"/>
      <c r="M303" s="13" t="n"/>
      <c r="N303" s="13" t="n"/>
      <c r="O303" s="14" t="n"/>
    </row>
    <row r="304">
      <c r="A304" s="12" t="n"/>
      <c r="B304" s="13">
        <f>IFERROR(LEFT(A304,FIND("-",A304)-1),"")</f>
        <v/>
      </c>
      <c r="C304" s="14" t="n"/>
      <c r="D304" s="12" t="n"/>
      <c r="E304" s="13" t="n"/>
      <c r="F304" s="13" t="n"/>
      <c r="G304" s="14" t="n"/>
      <c r="H304" s="14" t="n"/>
      <c r="I304" s="13" t="n"/>
      <c r="J304" s="13" t="n"/>
      <c r="K304" s="13" t="n"/>
      <c r="L304" s="13" t="n"/>
      <c r="M304" s="13" t="n"/>
      <c r="N304" s="13" t="n"/>
      <c r="O304" s="14" t="n"/>
    </row>
    <row r="305">
      <c r="A305" s="12" t="n"/>
      <c r="B305" s="13">
        <f>IFERROR(LEFT(A305,FIND("-",A305)-1),"")</f>
        <v/>
      </c>
      <c r="C305" s="14" t="n"/>
      <c r="D305" s="12" t="n"/>
      <c r="E305" s="13" t="n"/>
      <c r="F305" s="13" t="n"/>
      <c r="G305" s="14" t="n"/>
      <c r="H305" s="14" t="n"/>
      <c r="I305" s="13" t="n"/>
      <c r="J305" s="13" t="n"/>
      <c r="K305" s="13" t="n"/>
      <c r="L305" s="13" t="n"/>
      <c r="M305" s="13" t="n"/>
      <c r="N305" s="13" t="n"/>
      <c r="O305" s="14" t="n"/>
    </row>
    <row r="306">
      <c r="A306" s="12" t="n"/>
      <c r="B306" s="13">
        <f>IFERROR(LEFT(A306,FIND("-",A306)-1),"")</f>
        <v/>
      </c>
      <c r="C306" s="14" t="n"/>
      <c r="D306" s="12" t="n"/>
      <c r="E306" s="13" t="n"/>
      <c r="F306" s="13" t="n"/>
      <c r="G306" s="14" t="n"/>
      <c r="H306" s="14" t="n"/>
      <c r="I306" s="13" t="n"/>
      <c r="J306" s="13" t="n"/>
      <c r="K306" s="13" t="n"/>
      <c r="L306" s="13" t="n"/>
      <c r="M306" s="13" t="n"/>
      <c r="N306" s="13" t="n"/>
      <c r="O306" s="14" t="n"/>
    </row>
    <row r="307">
      <c r="A307" s="12" t="n"/>
      <c r="B307" s="13">
        <f>IFERROR(LEFT(A307,FIND("-",A307)-1),"")</f>
        <v/>
      </c>
      <c r="C307" s="14" t="n"/>
      <c r="D307" s="12" t="n"/>
      <c r="E307" s="13" t="n"/>
      <c r="F307" s="13" t="n"/>
      <c r="G307" s="14" t="n"/>
      <c r="H307" s="14" t="n"/>
      <c r="I307" s="13" t="n"/>
      <c r="J307" s="13" t="n"/>
      <c r="K307" s="13" t="n"/>
      <c r="L307" s="13" t="n"/>
      <c r="M307" s="13" t="n"/>
      <c r="N307" s="13" t="n"/>
      <c r="O307" s="14" t="n"/>
    </row>
    <row r="308">
      <c r="A308" s="12" t="n"/>
      <c r="B308" s="13">
        <f>IFERROR(LEFT(A308,FIND("-",A308)-1),"")</f>
        <v/>
      </c>
      <c r="C308" s="14" t="n"/>
      <c r="D308" s="12" t="n"/>
      <c r="E308" s="13" t="n"/>
      <c r="F308" s="13" t="n"/>
      <c r="G308" s="14" t="n"/>
      <c r="H308" s="14" t="n"/>
      <c r="I308" s="13" t="n"/>
      <c r="J308" s="13" t="n"/>
      <c r="K308" s="13" t="n"/>
      <c r="L308" s="13" t="n"/>
      <c r="M308" s="13" t="n"/>
      <c r="N308" s="13" t="n"/>
      <c r="O308" s="14" t="n"/>
    </row>
    <row r="309">
      <c r="A309" s="12" t="n"/>
      <c r="B309" s="13">
        <f>IFERROR(LEFT(A309,FIND("-",A309)-1),"")</f>
        <v/>
      </c>
      <c r="C309" s="14" t="n"/>
      <c r="D309" s="12" t="n"/>
      <c r="E309" s="13" t="n"/>
      <c r="F309" s="13" t="n"/>
      <c r="G309" s="14" t="n"/>
      <c r="H309" s="14" t="n"/>
      <c r="I309" s="13" t="n"/>
      <c r="J309" s="13" t="n"/>
      <c r="K309" s="13" t="n"/>
      <c r="L309" s="13" t="n"/>
      <c r="M309" s="13" t="n"/>
      <c r="N309" s="13" t="n"/>
      <c r="O309" s="14" t="n"/>
    </row>
    <row r="310">
      <c r="A310" s="12" t="n"/>
      <c r="B310" s="13">
        <f>IFERROR(LEFT(A310,FIND("-",A310)-1),"")</f>
        <v/>
      </c>
      <c r="C310" s="14" t="n"/>
      <c r="D310" s="12" t="n"/>
      <c r="E310" s="13" t="n"/>
      <c r="F310" s="13" t="n"/>
      <c r="G310" s="14" t="n"/>
      <c r="H310" s="14" t="n"/>
      <c r="I310" s="13" t="n"/>
      <c r="J310" s="13" t="n"/>
      <c r="K310" s="13" t="n"/>
      <c r="L310" s="13" t="n"/>
      <c r="M310" s="13" t="n"/>
      <c r="N310" s="13" t="n"/>
      <c r="O310" s="14" t="n"/>
    </row>
    <row r="311">
      <c r="A311" s="12" t="n"/>
      <c r="B311" s="13">
        <f>IFERROR(LEFT(A311,FIND("-",A311)-1),"")</f>
        <v/>
      </c>
      <c r="C311" s="14" t="n"/>
      <c r="D311" s="12" t="n"/>
      <c r="E311" s="13" t="n"/>
      <c r="F311" s="13" t="n"/>
      <c r="G311" s="14" t="n"/>
      <c r="H311" s="14" t="n"/>
      <c r="I311" s="13" t="n"/>
      <c r="J311" s="13" t="n"/>
      <c r="K311" s="13" t="n"/>
      <c r="L311" s="13" t="n"/>
      <c r="M311" s="13" t="n"/>
      <c r="N311" s="13" t="n"/>
      <c r="O311" s="14" t="n"/>
    </row>
    <row r="312">
      <c r="A312" s="12" t="n"/>
      <c r="B312" s="13">
        <f>IFERROR(LEFT(A312,FIND("-",A312)-1),"")</f>
        <v/>
      </c>
      <c r="C312" s="14" t="n"/>
      <c r="D312" s="12" t="n"/>
      <c r="E312" s="13" t="n"/>
      <c r="F312" s="13" t="n"/>
      <c r="G312" s="14" t="n"/>
      <c r="H312" s="14" t="n"/>
      <c r="I312" s="13" t="n"/>
      <c r="J312" s="13" t="n"/>
      <c r="K312" s="13" t="n"/>
      <c r="L312" s="13" t="n"/>
      <c r="M312" s="13" t="n"/>
      <c r="N312" s="13" t="n"/>
      <c r="O312" s="14" t="n"/>
    </row>
    <row r="313">
      <c r="A313" s="12" t="n"/>
      <c r="B313" s="13">
        <f>IFERROR(LEFT(A313,FIND("-",A313)-1),"")</f>
        <v/>
      </c>
      <c r="C313" s="14" t="n"/>
      <c r="D313" s="12" t="n"/>
      <c r="E313" s="13" t="n"/>
      <c r="F313" s="13" t="n"/>
      <c r="G313" s="14" t="n"/>
      <c r="H313" s="14" t="n"/>
      <c r="I313" s="13" t="n"/>
      <c r="J313" s="13" t="n"/>
      <c r="K313" s="13" t="n"/>
      <c r="L313" s="13" t="n"/>
      <c r="M313" s="13" t="n"/>
      <c r="N313" s="13" t="n"/>
      <c r="O313" s="14" t="n"/>
    </row>
    <row r="314">
      <c r="A314" s="12" t="n"/>
      <c r="B314" s="13">
        <f>IFERROR(LEFT(A314,FIND("-",A314)-1),"")</f>
        <v/>
      </c>
      <c r="C314" s="14" t="n"/>
      <c r="D314" s="12" t="n"/>
      <c r="E314" s="13" t="n"/>
      <c r="F314" s="13" t="n"/>
      <c r="G314" s="14" t="n"/>
      <c r="H314" s="14" t="n"/>
      <c r="I314" s="13" t="n"/>
      <c r="J314" s="13" t="n"/>
      <c r="K314" s="13" t="n"/>
      <c r="L314" s="13" t="n"/>
      <c r="M314" s="13" t="n"/>
      <c r="N314" s="13" t="n"/>
      <c r="O314" s="14" t="n"/>
    </row>
    <row r="315">
      <c r="A315" s="12" t="n"/>
      <c r="B315" s="13">
        <f>IFERROR(LEFT(A315,FIND("-",A315)-1),"")</f>
        <v/>
      </c>
      <c r="C315" s="14" t="n"/>
      <c r="D315" s="12" t="n"/>
      <c r="E315" s="13" t="n"/>
      <c r="F315" s="13" t="n"/>
      <c r="G315" s="14" t="n"/>
      <c r="H315" s="14" t="n"/>
      <c r="I315" s="13" t="n"/>
      <c r="J315" s="13" t="n"/>
      <c r="K315" s="13" t="n"/>
      <c r="L315" s="13" t="n"/>
      <c r="M315" s="13" t="n"/>
      <c r="N315" s="13" t="n"/>
      <c r="O315" s="14" t="n"/>
    </row>
    <row r="316">
      <c r="A316" s="12" t="n"/>
      <c r="B316" s="13">
        <f>IFERROR(LEFT(A316,FIND("-",A316)-1),"")</f>
        <v/>
      </c>
      <c r="C316" s="14" t="n"/>
      <c r="D316" s="12" t="n"/>
      <c r="E316" s="13" t="n"/>
      <c r="F316" s="13" t="n"/>
      <c r="G316" s="14" t="n"/>
      <c r="H316" s="14" t="n"/>
      <c r="I316" s="13" t="n"/>
      <c r="J316" s="13" t="n"/>
      <c r="K316" s="13" t="n"/>
      <c r="L316" s="13" t="n"/>
      <c r="M316" s="13" t="n"/>
      <c r="N316" s="13" t="n"/>
      <c r="O316" s="14" t="n"/>
    </row>
    <row r="317">
      <c r="A317" s="12" t="n"/>
      <c r="B317" s="13">
        <f>IFERROR(LEFT(A317,FIND("-",A317)-1),"")</f>
        <v/>
      </c>
      <c r="C317" s="14" t="n"/>
      <c r="D317" s="12" t="n"/>
      <c r="E317" s="13" t="n"/>
      <c r="F317" s="13" t="n"/>
      <c r="G317" s="14" t="n"/>
      <c r="H317" s="14" t="n"/>
      <c r="I317" s="13" t="n"/>
      <c r="J317" s="13" t="n"/>
      <c r="K317" s="13" t="n"/>
      <c r="L317" s="13" t="n"/>
      <c r="M317" s="13" t="n"/>
      <c r="N317" s="13" t="n"/>
      <c r="O317" s="14" t="n"/>
    </row>
    <row r="318">
      <c r="A318" s="12" t="n"/>
      <c r="B318" s="13">
        <f>IFERROR(LEFT(A318,FIND("-",A318)-1),"")</f>
        <v/>
      </c>
      <c r="C318" s="14" t="n"/>
      <c r="D318" s="12" t="n"/>
      <c r="E318" s="13" t="n"/>
      <c r="F318" s="13" t="n"/>
      <c r="G318" s="14" t="n"/>
      <c r="H318" s="14" t="n"/>
      <c r="I318" s="13" t="n"/>
      <c r="J318" s="13" t="n"/>
      <c r="K318" s="13" t="n"/>
      <c r="L318" s="13" t="n"/>
      <c r="M318" s="13" t="n"/>
      <c r="N318" s="13" t="n"/>
      <c r="O318" s="14" t="n"/>
    </row>
    <row r="319">
      <c r="A319" s="12" t="n"/>
      <c r="B319" s="13">
        <f>IFERROR(LEFT(A319,FIND("-",A319)-1),"")</f>
        <v/>
      </c>
      <c r="C319" s="14" t="n"/>
      <c r="D319" s="12" t="n"/>
      <c r="E319" s="13" t="n"/>
      <c r="F319" s="13" t="n"/>
      <c r="G319" s="14" t="n"/>
      <c r="H319" s="14" t="n"/>
      <c r="I319" s="13" t="n"/>
      <c r="J319" s="13" t="n"/>
      <c r="K319" s="13" t="n"/>
      <c r="L319" s="13" t="n"/>
      <c r="M319" s="13" t="n"/>
      <c r="N319" s="13" t="n"/>
      <c r="O319" s="14" t="n"/>
    </row>
    <row r="320">
      <c r="A320" s="12" t="n"/>
      <c r="B320" s="13">
        <f>IFERROR(LEFT(A320,FIND("-",A320)-1),"")</f>
        <v/>
      </c>
      <c r="C320" s="14" t="n"/>
      <c r="D320" s="12" t="n"/>
      <c r="E320" s="13" t="n"/>
      <c r="F320" s="13" t="n"/>
      <c r="G320" s="14" t="n"/>
      <c r="H320" s="14" t="n"/>
      <c r="I320" s="13" t="n"/>
      <c r="J320" s="13" t="n"/>
      <c r="K320" s="13" t="n"/>
      <c r="L320" s="13" t="n"/>
      <c r="M320" s="13" t="n"/>
      <c r="N320" s="13" t="n"/>
      <c r="O320" s="14" t="n"/>
    </row>
  </sheetData>
  <autoFilter ref="A1:O320"/>
  <mergeCells count="18">
    <mergeCell ref="A81:O81"/>
    <mergeCell ref="A235:O235"/>
    <mergeCell ref="A105:O105"/>
    <mergeCell ref="A121:O121"/>
    <mergeCell ref="A260:O260"/>
    <mergeCell ref="A60:O60"/>
    <mergeCell ref="A207:O207"/>
    <mergeCell ref="A225:O225"/>
    <mergeCell ref="A94:O94"/>
    <mergeCell ref="A46:O46"/>
    <mergeCell ref="A155:O155"/>
    <mergeCell ref="A188:O188"/>
    <mergeCell ref="A249:O249"/>
    <mergeCell ref="A135:O135"/>
    <mergeCell ref="A173:O173"/>
    <mergeCell ref="A18:O18"/>
    <mergeCell ref="A3:O3"/>
    <mergeCell ref="A39:O39"/>
  </mergeCells>
  <dataValidations count="4">
    <dataValidation sqref="D2:D320" showDropDown="0" showInputMessage="0" showErrorMessage="0" allowBlank="1" type="list">
      <formula1>"PASS,FAIL,MISSING,UNCLEAR,BLOCKED,N/A"</formula1>
    </dataValidation>
    <dataValidation sqref="F2:F320" showDropDown="0" showInputMessage="0" showErrorMessage="0" allowBlank="1" type="list">
      <formula1>"S1,S2,S3,S4,Q,D"</formula1>
    </dataValidation>
    <dataValidation sqref="J2:J320" showDropDown="0" showInputMessage="0" showErrorMessage="0" allowBlank="1" type="list">
      <formula1>"Y,N,N/A"</formula1>
    </dataValidation>
    <dataValidation sqref="N2:N32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6" customWidth="1" min="3" max="3"/>
    <col width="52" customWidth="1" min="4" max="4"/>
  </cols>
  <sheetData>
    <row r="1">
      <c r="A1" s="16" t="inlineStr">
        <is>
          <t>Decisions needed - no testing required, just your answer</t>
        </is>
      </c>
    </row>
    <row r="3" ht="30" customHeight="1">
      <c r="A3" s="6" t="inlineStr">
        <is>
          <t>#</t>
        </is>
      </c>
      <c r="B3" s="6" t="inlineStr">
        <is>
          <t>Topic</t>
        </is>
      </c>
      <c r="C3" s="6" t="inlineStr">
        <is>
          <t>The question</t>
        </is>
      </c>
      <c r="D3" s="6" t="inlineStr">
        <is>
          <t>Your answer</t>
        </is>
      </c>
    </row>
    <row r="4" ht="58" customHeight="1">
      <c r="A4" s="17" t="inlineStr">
        <is>
          <t>D-1</t>
        </is>
      </c>
      <c r="B4" s="18" t="inlineStr">
        <is>
          <t>Camps and club managers</t>
        </is>
      </c>
      <c r="C4" s="19" t="inlineStr">
        <is>
          <t>Spec SS-G says camps are individual self-registration only, but a club manager can still register athletes for one. Block it outright, or keep it as a convenience?</t>
        </is>
      </c>
      <c r="D4" s="20" t="n"/>
    </row>
    <row r="5" ht="58" customHeight="1">
      <c r="A5" s="17" t="inlineStr">
        <is>
          <t>D-2</t>
        </is>
      </c>
      <c r="B5" s="18" t="inlineStr">
        <is>
          <t>Host payout timing</t>
        </is>
      </c>
      <c r="C5" s="19" t="inlineStr">
        <is>
          <t>The 'owed' formula is settled (gross before fees, refunds not deducted). WHEN payout happens is still just wording on the host page. Is '1 week after the event' the policy?</t>
        </is>
      </c>
      <c r="D5" s="20" t="n"/>
    </row>
    <row r="6" ht="58" customHeight="1">
      <c r="A6" s="17" t="inlineStr">
        <is>
          <t>D-3</t>
        </is>
      </c>
      <c r="B6" s="18" t="inlineStr">
        <is>
          <t>Hosts and SMS</t>
        </is>
      </c>
      <c r="C6" s="19" t="inlineStr">
        <is>
          <t>Hosts currently get email only from the event Communicate page; SMS stays league-admin-only because each text bills UCG. Still right?</t>
        </is>
      </c>
      <c r="D6" s="20" t="n"/>
    </row>
    <row r="7" ht="58" customHeight="1">
      <c r="A7" s="17" t="inlineStr">
        <is>
          <t>D-4</t>
        </is>
      </c>
      <c r="B7" s="18" t="inlineStr">
        <is>
          <t>Invoice numbering format</t>
        </is>
      </c>
      <c r="C7" s="19" t="inlineStr">
        <is>
          <t>Two formats coexist. Which one do you want on real financial records?</t>
        </is>
      </c>
      <c r="D7" s="20" t="n"/>
    </row>
    <row r="8" ht="58" customHeight="1">
      <c r="A8" s="17" t="inlineStr">
        <is>
          <t>D-5</t>
        </is>
      </c>
      <c r="B8" s="18" t="inlineStr">
        <is>
          <t>Refund policy edges</t>
        </is>
      </c>
      <c r="C8" s="19" t="inlineStr">
        <is>
          <t>After-deadline is 75% before processing fees. Should add-ons follow the same 75% rule, or refund in full?</t>
        </is>
      </c>
      <c r="D8" s="20" t="n"/>
    </row>
    <row r="9" ht="58" customHeight="1">
      <c r="A9" s="17" t="inlineStr">
        <is>
          <t>D-6</t>
        </is>
      </c>
      <c r="B9" s="18" t="inlineStr">
        <is>
          <t>Anything in Appendix A you think should not wait</t>
        </is>
      </c>
      <c r="C9" s="19" t="inlineStr">
        <is>
          <t>List anything from the known-gaps appendix you want prioritized, and why.</t>
        </is>
      </c>
      <c r="D9" s="2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2026-08-19T20:48:39Z</dcterms:created>
  <dcterms:modified xmlns:dcterms="http://purl.org/dc/terms/" xmlns:xsi="http://www.w3.org/2001/XMLSchema-instance" xsi:type="dcterms:W3CDTF">2026-08-19T20:48:39Z</dcterms:modified>
</cp:coreProperties>
</file>