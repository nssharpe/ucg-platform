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Julia Findings" sheetId="2" state="visible" r:id="rId2"/>
    <sheet xmlns:r="http://schemas.openxmlformats.org/officeDocument/2006/relationships" name="Nate Findings" sheetId="3" state="visible" r:id="rId3"/>
    <sheet xmlns:r="http://schemas.openxmlformats.org/officeDocument/2006/relationships" name="Decisions" sheetId="4" state="visible" r:id="rId4"/>
  </sheets>
  <definedNames>
    <definedName name="_xlnm._FilterDatabase" localSheetId="1" hidden="1">'Julia Findings'!$A$1:$O$308</definedName>
    <definedName name="_xlnm._FilterDatabase" localSheetId="2" hidden="1">'Nate Findings'!$A$1:$O$308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352"/>
      <sz val="16"/>
    </font>
    <font>
      <name val="Arial"/>
      <i val="1"/>
      <color rgb="005A6875"/>
      <sz val="10"/>
    </font>
    <font>
      <name val="Arial"/>
      <sz val="10"/>
    </font>
    <font>
      <name val="Arial"/>
      <b val="1"/>
      <color rgb="001F3352"/>
      <sz val="11"/>
    </font>
    <font>
      <name val="Arial"/>
      <b val="1"/>
      <color rgb="001F3352"/>
      <sz val="10"/>
    </font>
    <font>
      <name val="Arial"/>
      <b val="1"/>
      <color rgb="00FFFFFF"/>
      <sz val="10"/>
    </font>
    <font>
      <name val="Arial"/>
      <i val="1"/>
      <color rgb="008A7A2E"/>
      <sz val="10"/>
    </font>
    <font>
      <name val="Arial"/>
      <b val="1"/>
      <color rgb="00FFFFFF"/>
      <sz val="11"/>
    </font>
    <font>
      <name val="Arial"/>
      <b val="1"/>
      <color rgb="001F3352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352"/>
      </patternFill>
    </fill>
    <fill>
      <patternFill patternType="solid">
        <fgColor rgb="00FFF6CC"/>
      </patternFill>
    </fill>
    <fill>
      <patternFill patternType="solid">
        <fgColor rgb="00F0785A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C6CDD6"/>
      </left>
      <right style="thin">
        <color rgb="00C6CDD6"/>
      </right>
      <top style="thin">
        <color rgb="00C6CDD6"/>
      </top>
      <bottom style="thin">
        <color rgb="00C6CDD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/>
    </xf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top" wrapText="1"/>
    </xf>
    <xf numFmtId="0" fontId="8" fillId="4" borderId="0" applyAlignment="1" pivotButton="0" quotePrefix="0" xfId="0">
      <alignment vertical="center" indent="1"/>
    </xf>
    <xf numFmtId="0" fontId="5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vertical="top" wrapText="1"/>
    </xf>
    <xf numFmtId="0" fontId="0" fillId="3" borderId="0" pivotButton="0" quotePrefix="0" xfId="0"/>
    <xf numFmtId="0" fontId="8" fillId="2" borderId="0" applyAlignment="1" pivotButton="0" quotePrefix="0" xfId="0">
      <alignment vertical="center" indent="1"/>
    </xf>
    <xf numFmtId="0" fontId="9" fillId="0" borderId="0" pivotButton="0" quotePrefix="0" xfId="0"/>
    <xf numFmtId="0" fontId="5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10" customWidth="1" min="2" max="2"/>
    <col width="10" customWidth="1" min="3" max="3"/>
  </cols>
  <sheetData>
    <row r="1" ht="22" customHeight="1">
      <c r="A1" s="1" t="inlineStr">
        <is>
          <t>UCG Preflight - Feedback Tracker</t>
        </is>
      </c>
    </row>
    <row r="2">
      <c r="A2" s="2" t="inlineStr">
        <is>
          <t>One shared sheet. Julia works in 'Julia Findings', Nate in 'Nate Findings'.</t>
        </is>
      </c>
    </row>
    <row r="3">
      <c r="A3" s="2" t="inlineStr">
        <is>
          <t>Companion to the UCG Preflight page / docs/plans/2026-08-19-uat-stress-test-plan.md</t>
        </is>
      </c>
    </row>
    <row r="4">
      <c r="A4" s="3" t="inlineStr"/>
    </row>
    <row r="5">
      <c r="A5" s="4" t="inlineStr">
        <is>
          <t>HOW TO USE</t>
        </is>
      </c>
    </row>
    <row r="6">
      <c r="A6" s="3" t="inlineStr">
        <is>
          <t>1. Work in YOUR OWN Findings tab. Every step from the plan is already there, in order.</t>
        </is>
      </c>
    </row>
    <row r="7">
      <c r="A7" s="3" t="inlineStr">
        <is>
          <t>2. Fill in the Result column for EVERY step - including the ones that pass.</t>
        </is>
      </c>
    </row>
    <row r="8">
      <c r="A8" s="3" t="inlineStr">
        <is>
          <t xml:space="preserve">   A PASS row takes two seconds and is what makes the untested gaps visible.</t>
        </is>
      </c>
    </row>
    <row r="9">
      <c r="A9" s="3" t="inlineStr">
        <is>
          <t>3. Only fill the rest of a row when it is NOT a plain PASS.</t>
        </is>
      </c>
    </row>
    <row r="10">
      <c r="A10" s="3" t="inlineStr">
        <is>
          <t>4. Anything BROKEN: file it in-app first (Report a problem), THEN add the row here.</t>
        </is>
      </c>
    </row>
    <row r="11">
      <c r="A11" s="3" t="inlineStr">
        <is>
          <t xml:space="preserve">   The in-app widget captures the console-error buffer, which is overwritten as you</t>
        </is>
      </c>
    </row>
    <row r="12">
      <c r="A12" s="3" t="inlineStr">
        <is>
          <t xml:space="preserve">   keep clicking. Start that description with the Finding ID and your initials.</t>
        </is>
      </c>
    </row>
    <row r="13">
      <c r="A13" s="3" t="inlineStr">
        <is>
          <t>5. Blank rows at the bottom of each Findings tab are for anything not tied to a step.</t>
        </is>
      </c>
    </row>
    <row r="14">
      <c r="A14" s="3" t="inlineStr">
        <is>
          <t>6. Julia: the Decisions tab needs no testing - just answers.</t>
        </is>
      </c>
    </row>
    <row r="15">
      <c r="A15" s="3" t="inlineStr"/>
    </row>
    <row r="16">
      <c r="A16" s="4" t="inlineStr">
        <is>
          <t>BEFORE YOU FILE 'IT DIDN'T UPDATE'</t>
        </is>
      </c>
    </row>
    <row r="17">
      <c r="A17" s="3" t="inlineStr">
        <is>
          <t>Hard-reload once (Ctrl+Shift+R / Cmd+Shift+R), then answer the 'Hard reload fix it?'</t>
        </is>
      </c>
    </row>
    <row r="18">
      <c r="A18" s="3" t="inlineStr">
        <is>
          <t>column. Live updates are wired for SCORES ONLY - most other cross-device changes</t>
        </is>
      </c>
    </row>
    <row r="19">
      <c r="A19" s="3" t="inlineStr">
        <is>
          <t>legitimately need a refresh. This one column saves a triage cycle every time.</t>
        </is>
      </c>
    </row>
    <row r="20">
      <c r="A20" s="3" t="inlineStr"/>
    </row>
    <row r="21">
      <c r="A21" s="4" t="inlineStr">
        <is>
          <t>TEST DATA</t>
        </is>
      </c>
    </row>
    <row r="22">
      <c r="A22" s="3" t="inlineStr">
        <is>
          <t>Prefix everything you create with  ZZTEST-  so the pre-launch sweep is a search,</t>
        </is>
      </c>
    </row>
    <row r="23">
      <c r="A23" s="3" t="inlineStr">
        <is>
          <t>not an excavation. Forgot? Say so in Notes. Do NOT delete as you go - a broken row</t>
        </is>
      </c>
    </row>
    <row r="24">
      <c r="A24" s="3" t="inlineStr">
        <is>
          <t>is often the evidence.</t>
        </is>
      </c>
    </row>
    <row r="25">
      <c r="A25" s="3" t="inlineStr"/>
    </row>
    <row r="26">
      <c r="A26" s="4" t="inlineStr">
        <is>
          <t>SCREENSHOTS</t>
        </is>
      </c>
    </row>
    <row r="27">
      <c r="A27" s="3" t="inlineStr">
        <is>
          <t>Filename:  &lt;Finding ID&gt;_&lt;seq&gt;_&lt;your initials&gt;.png     e.g.  M-07-01_01_JB.png</t>
        </is>
      </c>
    </row>
    <row r="28">
      <c r="A28" s="3" t="inlineStr">
        <is>
          <t>Include the address bar. Annotate the exact element. Use a screen RECORDING for</t>
        </is>
      </c>
    </row>
    <row r="29">
      <c r="A29" s="3" t="inlineStr">
        <is>
          <t>anything with motion. For money bugs, capture line items AND the total in one frame.</t>
        </is>
      </c>
    </row>
    <row r="30">
      <c r="A30" s="3" t="inlineStr"/>
    </row>
    <row r="31">
      <c r="A31" s="4" t="inlineStr">
        <is>
          <t>SEVERITY</t>
        </is>
      </c>
    </row>
    <row r="32">
      <c r="A32" s="3" t="inlineStr">
        <is>
          <t>S1  Blocker - a core flow can't complete, or money/data is wrong</t>
        </is>
      </c>
    </row>
    <row r="33">
      <c r="A33" s="3" t="inlineStr">
        <is>
          <t>S2  Major - broken or badly wrong, but there is a workaround</t>
        </is>
      </c>
    </row>
    <row r="34">
      <c r="A34" s="3" t="inlineStr">
        <is>
          <t>S3  Minor - works, but wrong in a way a user would notice</t>
        </is>
      </c>
    </row>
    <row r="35">
      <c r="A35" s="3" t="inlineStr">
        <is>
          <t>S4  Polish - cosmetic</t>
        </is>
      </c>
    </row>
    <row r="36">
      <c r="A36" s="3" t="inlineStr">
        <is>
          <t>Q   Question - you can't tell whether it's wrong</t>
        </is>
      </c>
    </row>
    <row r="37">
      <c r="A37" s="3" t="inlineStr">
        <is>
          <t>D   Decision needed - works as built, but is it what we want?  &lt;- most valuable</t>
        </is>
      </c>
    </row>
    <row r="38">
      <c r="A38" s="3" t="inlineStr"/>
    </row>
    <row r="39">
      <c r="A39" s="4" t="inlineStr">
        <is>
          <t>RESULT CODES</t>
        </is>
      </c>
    </row>
    <row r="40">
      <c r="A40" s="3" t="inlineStr">
        <is>
          <t>PASS / FAIL / MISSING (described behavior doesn't exist) / UNCLEAR (couldn't tell) /</t>
        </is>
      </c>
    </row>
    <row r="41">
      <c r="A41" s="3" t="inlineStr">
        <is>
          <t>BLOCKED (couldn't get to it) / N/A (doesn't apply to you)</t>
        </is>
      </c>
    </row>
    <row r="42">
      <c r="A42" s="3" t="inlineStr"/>
    </row>
    <row r="43">
      <c r="A43" s="4" t="inlineStr">
        <is>
          <t>PROGRESS</t>
        </is>
      </c>
    </row>
    <row r="44">
      <c r="B44" s="5" t="inlineStr">
        <is>
          <t>Julia</t>
        </is>
      </c>
      <c r="C44" s="5" t="inlineStr">
        <is>
          <t>Nate</t>
        </is>
      </c>
    </row>
    <row r="45">
      <c r="A45" s="3" t="inlineStr">
        <is>
          <t>Steps in the plan</t>
        </is>
      </c>
      <c r="B45" s="6">
        <f>COUNTIF('Julia Findings'!A3:A2000,"?-??")</f>
        <v/>
      </c>
      <c r="C45" s="6">
        <f>COUNTIF('Nate Findings'!A3:A2000,"?-??")</f>
        <v/>
      </c>
    </row>
    <row r="46">
      <c r="A46" s="3" t="inlineStr">
        <is>
          <t>Steps with a Result filled in</t>
        </is>
      </c>
      <c r="B46" s="6">
        <f>COUNTIFS('Julia Findings'!A3:A2000,"?-??",'Julia Findings'!D3:D2000,"&lt;&gt;")</f>
        <v/>
      </c>
      <c r="C46" s="6">
        <f>COUNTIFS('Nate Findings'!A3:A2000,"?-??",'Nate Findings'!D3:D2000,"&lt;&gt;")</f>
        <v/>
      </c>
    </row>
    <row r="47">
      <c r="A47" s="3" t="inlineStr">
        <is>
          <t>Still to do</t>
        </is>
      </c>
      <c r="B47" s="6">
        <f>COUNTIF('Julia Findings'!A3:A2000,"?-??")-COUNTIFS('Julia Findings'!A3:A2000,"?-??",'Julia Findings'!D3:D2000,"&lt;&gt;")</f>
        <v/>
      </c>
      <c r="C47" s="6">
        <f>COUNTIF('Nate Findings'!A3:A2000,"?-??")-COUNTIFS('Nate Findings'!A3:A2000,"?-??",'Nate Findings'!D3:D2000,"&lt;&gt;")</f>
        <v/>
      </c>
    </row>
    <row r="49">
      <c r="A49" s="3" t="inlineStr">
        <is>
          <t>PASS</t>
        </is>
      </c>
      <c r="B49" s="6">
        <f>COUNTIF('Julia Findings'!D3:D2000,"PASS")</f>
        <v/>
      </c>
      <c r="C49" s="6">
        <f>COUNTIF('Nate Findings'!D3:D2000,"PASS")</f>
        <v/>
      </c>
    </row>
    <row r="50">
      <c r="A50" s="3" t="inlineStr">
        <is>
          <t>FAIL</t>
        </is>
      </c>
      <c r="B50" s="6">
        <f>COUNTIF('Julia Findings'!D3:D2000,"FAIL")</f>
        <v/>
      </c>
      <c r="C50" s="6">
        <f>COUNTIF('Nate Findings'!D3:D2000,"FAIL")</f>
        <v/>
      </c>
    </row>
    <row r="51">
      <c r="A51" s="3" t="inlineStr">
        <is>
          <t>MISSING</t>
        </is>
      </c>
      <c r="B51" s="6">
        <f>COUNTIF('Julia Findings'!D3:D2000,"MISSING")</f>
        <v/>
      </c>
      <c r="C51" s="6">
        <f>COUNTIF('Nate Findings'!D3:D2000,"MISSING")</f>
        <v/>
      </c>
    </row>
    <row r="52">
      <c r="A52" s="3" t="inlineStr">
        <is>
          <t>UNCLEAR</t>
        </is>
      </c>
      <c r="B52" s="6">
        <f>COUNTIF('Julia Findings'!D3:D2000,"UNCLEAR")</f>
        <v/>
      </c>
      <c r="C52" s="6">
        <f>COUNTIF('Nate Findings'!D3:D2000,"UNCLEAR")</f>
        <v/>
      </c>
    </row>
    <row r="53">
      <c r="A53" s="3" t="inlineStr">
        <is>
          <t>BLOCKED</t>
        </is>
      </c>
      <c r="B53" s="6">
        <f>COUNTIF('Julia Findings'!D3:D2000,"BLOCKED")</f>
        <v/>
      </c>
      <c r="C53" s="6">
        <f>COUNTIF('Nate Findings'!D3:D2000,"BLOCKED")</f>
        <v/>
      </c>
    </row>
    <row r="55">
      <c r="A55" s="3" t="inlineStr">
        <is>
          <t>S1 blockers</t>
        </is>
      </c>
      <c r="B55" s="6">
        <f>COUNTIF('Julia Findings'!F3:F2000,"S1")</f>
        <v/>
      </c>
      <c r="C55" s="6">
        <f>COUNTIF('Nate Findings'!F3:F2000,"S1")</f>
        <v/>
      </c>
    </row>
    <row r="56">
      <c r="A56" s="3" t="inlineStr">
        <is>
          <t>S2 major</t>
        </is>
      </c>
      <c r="B56" s="6">
        <f>COUNTIF('Julia Findings'!F3:F2000,"S2")</f>
        <v/>
      </c>
      <c r="C56" s="6">
        <f>COUNTIF('Nate Findings'!F3:F2000,"S2")</f>
        <v/>
      </c>
    </row>
    <row r="57">
      <c r="A57" s="3" t="inlineStr">
        <is>
          <t>Decisions raised (D)</t>
        </is>
      </c>
      <c r="B57" s="6">
        <f>COUNTIF('Julia Findings'!F3:F2000,"D")</f>
        <v/>
      </c>
      <c r="C57" s="6">
        <f>COUNTIF('Nate Findings'!F3:F2000,"D")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56" customWidth="1" min="3" max="3"/>
    <col width="11" customWidth="1" min="4" max="4"/>
    <col width="12" customWidth="1" min="5" max="5"/>
    <col width="10" customWidth="1" min="6" max="6"/>
    <col width="40" customWidth="1" min="7" max="7"/>
    <col width="48" customWidth="1" min="8" max="8"/>
    <col width="21" customWidth="1" min="9" max="9"/>
    <col width="17" customWidth="1" min="10" max="10"/>
    <col width="20" customWidth="1" min="11" max="11"/>
    <col width="18" customWidth="1" min="12" max="12"/>
    <col width="26" customWidth="1" min="13" max="13"/>
    <col width="15" customWidth="1" min="14" max="14"/>
    <col width="34" customWidth="1" min="15" max="15"/>
  </cols>
  <sheetData>
    <row r="1" ht="30" customHeight="1">
      <c r="A1" s="7" t="inlineStr">
        <is>
          <t>Step ID</t>
        </is>
      </c>
      <c r="B1" s="7" t="inlineStr">
        <is>
          <t>Lane</t>
        </is>
      </c>
      <c r="C1" s="7" t="inlineStr">
        <is>
          <t>Step (what to do)</t>
        </is>
      </c>
      <c r="D1" s="7" t="inlineStr">
        <is>
          <t>Result</t>
        </is>
      </c>
      <c r="E1" s="7" t="inlineStr">
        <is>
          <t>Finding ID</t>
        </is>
      </c>
      <c r="F1" s="7" t="inlineStr">
        <is>
          <t>Severity</t>
        </is>
      </c>
      <c r="G1" s="7" t="inlineStr">
        <is>
          <t>What you expected</t>
        </is>
      </c>
      <c r="H1" s="7" t="inlineStr">
        <is>
          <t>What actually happened (exact error text)</t>
        </is>
      </c>
      <c r="I1" s="7" t="inlineStr">
        <is>
          <t>Timestamp (local + tz)</t>
        </is>
      </c>
      <c r="J1" s="7" t="inlineStr">
        <is>
          <t>Hard reload fix it?</t>
        </is>
      </c>
      <c r="K1" s="7" t="inlineStr">
        <is>
          <t>Device / browser</t>
        </is>
      </c>
      <c r="L1" s="7" t="inlineStr">
        <is>
          <t>Signed in as</t>
        </is>
      </c>
      <c r="M1" s="7" t="inlineStr">
        <is>
          <t>Screenshot(s)</t>
        </is>
      </c>
      <c r="N1" s="7" t="inlineStr">
        <is>
          <t>Reported in-app?</t>
        </is>
      </c>
      <c r="O1" s="7" t="inlineStr">
        <is>
          <t>Notes</t>
        </is>
      </c>
    </row>
    <row r="2" ht="42" customHeight="1">
      <c r="A2" s="8" t="inlineStr">
        <is>
          <t>M-07</t>
        </is>
      </c>
      <c r="B2" s="8" t="inlineStr">
        <is>
          <t>M</t>
        </is>
      </c>
      <c r="C2" s="8" t="inlineStr">
        <is>
          <t>EXAMPLE ROW - delete or overwrite me</t>
        </is>
      </c>
      <c r="D2" s="8" t="inlineStr">
        <is>
          <t>FAIL</t>
        </is>
      </c>
      <c r="E2" s="8" t="inlineStr">
        <is>
          <t>M-07-01</t>
        </is>
      </c>
      <c r="F2" s="8" t="inlineStr">
        <is>
          <t>S1</t>
        </is>
      </c>
      <c r="G2" s="8" t="inlineStr">
        <is>
          <t>3-D Secure challenge appears, then the payment completes</t>
        </is>
      </c>
      <c r="H2" s="8" t="inlineStr">
        <is>
          <t>Challenge appeared, I approved it, then "Something went wrong" and the cart still had the item</t>
        </is>
      </c>
      <c r="I2" s="8" t="inlineStr">
        <is>
          <t>2026-08-19 14:32 PT</t>
        </is>
      </c>
      <c r="J2" s="8" t="inlineStr">
        <is>
          <t>N</t>
        </is>
      </c>
      <c r="K2" s="8" t="inlineStr">
        <is>
          <t>Win 11 / Chrome 141</t>
        </is>
      </c>
      <c r="L2" s="8" t="inlineStr">
        <is>
          <t>Athlete (ZZTEST-Robin)</t>
        </is>
      </c>
      <c r="M2" s="8" t="inlineStr">
        <is>
          <t>M-07-01_01_JS.png</t>
        </is>
      </c>
      <c r="N2" s="8" t="inlineStr">
        <is>
          <t>Y</t>
        </is>
      </c>
      <c r="O2" s="8" t="inlineStr">
        <is>
          <t>Reproduced twice. Stripe dashboard shows no payment attempt at all.</t>
        </is>
      </c>
    </row>
    <row r="3" ht="20" customHeight="1">
      <c r="A3" s="9" t="inlineStr">
        <is>
          <t>A  -  Accounts, auth &amp; security</t>
        </is>
      </c>
    </row>
    <row r="4">
      <c r="A4" s="10" t="inlineStr">
        <is>
          <t>A-01</t>
        </is>
      </c>
      <c r="B4" s="11" t="inlineStr">
        <is>
          <t>A</t>
        </is>
      </c>
      <c r="C4" s="12" t="inlineStr">
        <is>
          <t>Sign up a brand-new account from scratch (ZZTEST- name, an address you can read)</t>
        </is>
      </c>
      <c r="D4" s="13" t="n"/>
    </row>
    <row r="5">
      <c r="A5" s="10" t="inlineStr">
        <is>
          <t>A-02</t>
        </is>
      </c>
      <c r="B5" s="11" t="inlineStr">
        <is>
          <t>A</t>
        </is>
      </c>
      <c r="C5" s="12" t="inlineStr">
        <is>
          <t>While signed out, go directly to #/admin/league</t>
        </is>
      </c>
      <c r="D5" s="13" t="n"/>
    </row>
    <row r="6">
      <c r="A6" s="10" t="inlineStr">
        <is>
          <t>A-03</t>
        </is>
      </c>
      <c r="B6" s="11" t="inlineStr">
        <is>
          <t>A</t>
        </is>
      </c>
      <c r="C6" s="12" t="inlineStr">
        <is>
          <t>Sign in as the role-less athlete (S-05), then go to #/admin/league, #/admin/finance, #/admin/refunds</t>
        </is>
      </c>
      <c r="D6" s="13" t="n"/>
    </row>
    <row r="7">
      <c r="A7" s="10" t="inlineStr">
        <is>
          <t>A-04</t>
        </is>
      </c>
      <c r="B7" s="11" t="inlineStr">
        <is>
          <t>A</t>
        </is>
      </c>
      <c r="C7" s="12" t="inlineStr">
        <is>
          <t>Refresh the page while signed in as an admin, on an admin page</t>
        </is>
      </c>
      <c r="D7" s="13" t="n"/>
    </row>
    <row r="8">
      <c r="A8" s="10" t="inlineStr">
        <is>
          <t>A-05</t>
        </is>
      </c>
      <c r="B8" s="11" t="inlineStr">
        <is>
          <t>A</t>
        </is>
      </c>
      <c r="C8" s="12" t="inlineStr">
        <is>
          <t>Sign out, then use the browser Back button</t>
        </is>
      </c>
      <c r="D8" s="13" t="n"/>
    </row>
    <row r="9">
      <c r="A9" s="10" t="inlineStr">
        <is>
          <t>A-06</t>
        </is>
      </c>
      <c r="B9" s="11" t="inlineStr">
        <is>
          <t>A</t>
        </is>
      </c>
      <c r="C9" s="12" t="inlineStr">
        <is>
          <t>Forgot-password flow end to end</t>
        </is>
      </c>
      <c r="D9" s="13" t="n"/>
    </row>
    <row r="10">
      <c r="A10" s="10" t="inlineStr">
        <is>
          <t>A-07</t>
        </is>
      </c>
      <c r="B10" s="11" t="inlineStr">
        <is>
          <t>A</t>
        </is>
      </c>
      <c r="C10" s="12" t="inlineStr">
        <is>
          <t>Admin sends an account invite: #/admin/members → open a person who has no account → Send account invite. (NOT "+ New Person" — that only creates the profile; A-07-01 was partly this step's wording.) Recipient clicks the link</t>
        </is>
      </c>
      <c r="D10" s="13" t="n"/>
    </row>
    <row r="11">
      <c r="A11" s="10" t="inlineStr">
        <is>
          <t>A-08</t>
        </is>
      </c>
      <c r="B11" s="11" t="inlineStr">
        <is>
          <t>A</t>
        </is>
      </c>
      <c r="C11" s="12" t="inlineStr">
        <is>
          <t>Enroll TOTP on a fresh account with a real authenticator app</t>
        </is>
      </c>
      <c r="D11" s="13" t="n"/>
    </row>
    <row r="12">
      <c r="A12" s="10" t="inlineStr">
        <is>
          <t>A-09</t>
        </is>
      </c>
      <c r="B12" s="11" t="inlineStr">
        <is>
          <t>A</t>
        </is>
      </c>
      <c r="C12" s="12" t="inlineStr">
        <is>
          <t>Sign out, sign back in with TOTP</t>
        </is>
      </c>
      <c r="D12" s="13" t="n"/>
    </row>
    <row r="13">
      <c r="A13" s="10" t="inlineStr">
        <is>
          <t>A-10</t>
        </is>
      </c>
      <c r="B13" s="11" t="inlineStr">
        <is>
          <t>A</t>
        </is>
      </c>
      <c r="C13" s="12" t="inlineStr">
        <is>
          <t>Enroll a passkey on real hardware (Face ID / Touch ID / Windows Hello)</t>
        </is>
      </c>
      <c r="D13" s="13" t="n"/>
    </row>
    <row r="14">
      <c r="A14" s="10" t="inlineStr">
        <is>
          <t>A-11</t>
        </is>
      </c>
      <c r="B14" s="11" t="inlineStr">
        <is>
          <t>A</t>
        </is>
      </c>
      <c r="C14" s="12" t="inlineStr">
        <is>
          <t>Sign in as an admin without MFA enrolled</t>
        </is>
      </c>
      <c r="D14" s="13" t="n"/>
    </row>
    <row r="15">
      <c r="A15" s="10" t="inlineStr">
        <is>
          <t>A-12</t>
        </is>
      </c>
      <c r="B15" s="11" t="inlineStr">
        <is>
          <t>A</t>
        </is>
      </c>
      <c r="C15" s="12" t="inlineStr">
        <is>
          <t>Nate: exercise the admin MFA reset break-glass on the test account</t>
        </is>
      </c>
      <c r="D15" s="13" t="n"/>
    </row>
    <row r="16">
      <c r="A16" s="10" t="inlineStr">
        <is>
          <t>A-13</t>
        </is>
      </c>
      <c r="B16" s="11" t="inlineStr">
        <is>
          <t>A</t>
        </is>
      </c>
      <c r="C16" s="12" t="inlineStr">
        <is>
          <t>Try #/profile (a route that doesn't exist)</t>
        </is>
      </c>
      <c r="D16" s="13" t="n"/>
    </row>
    <row r="17">
      <c r="A17" s="10" t="inlineStr">
        <is>
          <t>A-14</t>
        </is>
      </c>
      <c r="B17" s="11" t="inlineStr">
        <is>
          <t>A</t>
        </is>
      </c>
      <c r="C17" s="12" t="inlineStr">
        <is>
          <t>Sign in on your phone and desktop at once; change your name on one</t>
        </is>
      </c>
      <c r="D17" s="13" t="n"/>
    </row>
    <row r="18" ht="20" customHeight="1">
      <c r="A18" s="9" t="inlineStr">
        <is>
          <t>M  -  Cart, pricing &amp; Stripe checkout</t>
        </is>
      </c>
    </row>
    <row r="19">
      <c r="A19" s="10" t="inlineStr">
        <is>
          <t>M-01</t>
        </is>
      </c>
      <c r="B19" s="11" t="inlineStr">
        <is>
          <t>M</t>
        </is>
      </c>
      <c r="C19" s="12" t="inlineStr">
        <is>
          <t>Add one event registration to the cart. Write down every number on the cart page: line item, subtotal, service fee, total</t>
        </is>
      </c>
      <c r="D19" s="13" t="n"/>
    </row>
    <row r="20">
      <c r="A20" s="10" t="inlineStr">
        <is>
          <t>M-02</t>
        </is>
      </c>
      <c r="B20" s="11" t="inlineStr">
        <is>
          <t>M</t>
        </is>
      </c>
      <c r="C20" s="12" t="inlineStr">
        <is>
          <t>Click through to checkout. Compare the Stripe page's numbers against M-01, to the cent</t>
        </is>
      </c>
      <c r="D20" s="13" t="n"/>
    </row>
    <row r="21">
      <c r="A21" s="10" t="inlineStr">
        <is>
          <t>M-03</t>
        </is>
      </c>
      <c r="B21" s="11" t="inlineStr">
        <is>
          <t>M</t>
        </is>
      </c>
      <c r="C21" s="12" t="inlineStr">
        <is>
          <t>Pay with 4242…. Watch what happens after the payment completes</t>
        </is>
      </c>
      <c r="D21" s="13" t="n"/>
    </row>
    <row r="22">
      <c r="A22" s="10" t="inlineStr">
        <is>
          <t>M-04</t>
        </is>
      </c>
      <c r="B22" s="11" t="inlineStr">
        <is>
          <t>M</t>
        </is>
      </c>
      <c r="C22" s="12" t="inlineStr">
        <is>
          <t>Check the confirmation email against the receipt in-app</t>
        </is>
      </c>
      <c r="D22" s="13" t="n"/>
    </row>
    <row r="23">
      <c r="A23" s="10" t="inlineStr">
        <is>
          <t>M-05</t>
        </is>
      </c>
      <c r="B23" s="11" t="inlineStr">
        <is>
          <t>M</t>
        </is>
      </c>
      <c r="C23" s="12" t="inlineStr">
        <is>
          <t>Open the invoice/receipt PDF and actually print it (or print-to-PDF)</t>
        </is>
      </c>
      <c r="D23" s="13" t="n"/>
    </row>
    <row r="24">
      <c r="A24" s="10" t="inlineStr">
        <is>
          <t>M-06</t>
        </is>
      </c>
      <c r="B24" s="11" t="inlineStr">
        <is>
          <t>M</t>
        </is>
      </c>
      <c r="C24" s="12" t="inlineStr">
        <is>
          <t>Repeat a checkout with the decline card 4000…0002</t>
        </is>
      </c>
      <c r="D24" s="13" t="n"/>
    </row>
    <row r="25">
      <c r="A25" s="10" t="inlineStr">
        <is>
          <t>M-07</t>
        </is>
      </c>
      <c r="B25" s="11" t="inlineStr">
        <is>
          <t>M</t>
        </is>
      </c>
      <c r="C25" s="12" t="inlineStr">
        <is>
          <t>Repeat with the 3-D Secure card 4000 0025 0000 3155</t>
        </is>
      </c>
      <c r="D25" s="13" t="n"/>
    </row>
    <row r="26">
      <c r="A26" s="10" t="inlineStr">
        <is>
          <t>M-08</t>
        </is>
      </c>
      <c r="B26" s="11" t="inlineStr">
        <is>
          <t>M</t>
        </is>
      </c>
      <c r="C26" s="12" t="inlineStr">
        <is>
          <t>Start a checkout and abandon it — close the tab mid-payment. Wait 2 minutes, come back</t>
        </is>
      </c>
      <c r="D26" s="13" t="n"/>
    </row>
    <row r="27">
      <c r="A27" s="10" t="inlineStr">
        <is>
          <t>M-09</t>
        </is>
      </c>
      <c r="B27" s="11" t="inlineStr">
        <is>
          <t>M</t>
        </is>
      </c>
      <c r="C27" s="12" t="inlineStr">
        <is>
          <t>Use the browser Back button from inside Stripe checkout</t>
        </is>
      </c>
      <c r="D27" s="13" t="n"/>
    </row>
    <row r="28">
      <c r="A28" s="10" t="inlineStr">
        <is>
          <t>M-10</t>
        </is>
      </c>
      <c r="B28" s="11" t="inlineStr">
        <is>
          <t>M</t>
        </is>
      </c>
      <c r="C28" s="12" t="inlineStr">
        <is>
          <t>Build a cart with registration + add-ons + a change fee together</t>
        </is>
      </c>
      <c r="D28" s="13" t="n"/>
    </row>
    <row r="29">
      <c r="A29" s="10" t="inlineStr">
        <is>
          <t>M-11</t>
        </is>
      </c>
      <c r="B29" s="11" t="inlineStr">
        <is>
          <t>M</t>
        </is>
      </c>
      <c r="C29" s="12" t="inlineStr">
        <is>
          <t>Apply a promo/coupon code</t>
        </is>
      </c>
      <c r="D29" s="13" t="n"/>
    </row>
    <row r="30">
      <c r="A30" s="10" t="inlineStr">
        <is>
          <t>M-12</t>
        </is>
      </c>
      <c r="B30" s="11" t="inlineStr">
        <is>
          <t>M</t>
        </is>
      </c>
      <c r="C30" s="12" t="inlineStr">
        <is>
          <t>Apply a coupon that covers 100% of the total</t>
        </is>
      </c>
      <c r="D30" s="13" t="n"/>
    </row>
    <row r="31">
      <c r="A31" s="10" t="inlineStr">
        <is>
          <t>M-13</t>
        </is>
      </c>
      <c r="B31" s="11" t="inlineStr">
        <is>
          <t>M</t>
        </is>
      </c>
      <c r="C31" s="12" t="inlineStr">
        <is>
          <t>Try an invalid and an expired coupon code</t>
        </is>
      </c>
      <c r="D31" s="13" t="n"/>
    </row>
    <row r="32">
      <c r="A32" s="10" t="inlineStr">
        <is>
          <t>M-14</t>
        </is>
      </c>
      <c r="B32" s="11" t="inlineStr">
        <is>
          <t>M</t>
        </is>
      </c>
      <c r="C32" s="12" t="inlineStr">
        <is>
          <t>Remove a cart line for a new registration you'd added</t>
        </is>
      </c>
      <c r="D32" s="13" t="n"/>
    </row>
    <row r="33">
      <c r="A33" s="10" t="inlineStr">
        <is>
          <t>M-15</t>
        </is>
      </c>
      <c r="B33" s="11" t="inlineStr">
        <is>
          <t>M</t>
        </is>
      </c>
      <c r="C33" s="12" t="inlineStr">
        <is>
          <t>Remove a cart line for a change fee</t>
        </is>
      </c>
      <c r="D33" s="13" t="n"/>
    </row>
    <row r="34">
      <c r="A34" s="10" t="inlineStr">
        <is>
          <t>M-16</t>
        </is>
      </c>
      <c r="B34" s="11" t="inlineStr">
        <is>
          <t>M</t>
        </is>
      </c>
      <c r="C34" s="12" t="inlineStr">
        <is>
          <t>Julia (club manager): fill the club cart, Print Invoice before paying</t>
        </is>
      </c>
      <c r="D34" s="13" t="n"/>
    </row>
    <row r="35">
      <c r="A35" s="10" t="inlineStr">
        <is>
          <t>M-17</t>
        </is>
      </c>
      <c r="B35" s="11" t="inlineStr">
        <is>
          <t>M</t>
        </is>
      </c>
      <c r="C35" s="12" t="inlineStr">
        <is>
          <t>Check the service fee on several different totals</t>
        </is>
      </c>
      <c r="D35" s="13" t="n"/>
    </row>
    <row r="36">
      <c r="A36" s="10" t="inlineStr">
        <is>
          <t>M-18</t>
        </is>
      </c>
      <c r="B36" s="11" t="inlineStr">
        <is>
          <t>M</t>
        </is>
      </c>
      <c r="C36" s="12" t="inlineStr">
        <is>
          <t>Personal cart and a club cart populated at once</t>
        </is>
      </c>
      <c r="D36" s="13" t="n"/>
    </row>
    <row r="37">
      <c r="A37" s="10" t="inlineStr">
        <is>
          <t>M-19</t>
        </is>
      </c>
      <c r="B37" s="11" t="inlineStr">
        <is>
          <t>M</t>
        </is>
      </c>
      <c r="C37" s="12" t="inlineStr">
        <is>
          <t>#/me/purchases after all the above</t>
        </is>
      </c>
      <c r="D37" s="13" t="n"/>
    </row>
    <row r="38">
      <c r="A38" s="10" t="inlineStr">
        <is>
          <t>M-20</t>
        </is>
      </c>
      <c r="B38" s="11" t="inlineStr">
        <is>
          <t>M</t>
        </is>
      </c>
      <c r="C38" s="12" t="inlineStr">
        <is>
          <t>Compare #/me/purchases against the Stripe Dashboard test payments</t>
        </is>
      </c>
      <c r="D38" s="13" t="n"/>
    </row>
    <row r="39" ht="20" customHeight="1">
      <c r="A39" s="9" t="inlineStr">
        <is>
          <t>Z  -  Two-person concurrency (JOINT SESSION — book it)</t>
        </is>
      </c>
    </row>
    <row r="40">
      <c r="A40" s="10" t="inlineStr">
        <is>
          <t>Z-01</t>
        </is>
      </c>
      <c r="B40" s="11" t="inlineStr">
        <is>
          <t>Z</t>
        </is>
      </c>
      <c r="C40" s="12" t="inlineStr">
        <is>
          <t>Simultaneous checkout. Both of you get a cart ready with a different item. Count down 3-2-1 and click Pay at the same moment. Then write down both invoice numbers, verbatim, exactly as shown.</t>
        </is>
      </c>
      <c r="D40" s="13" t="n"/>
    </row>
    <row r="41">
      <c r="A41" s="10" t="inlineStr">
        <is>
          <t>Z-02</t>
        </is>
      </c>
      <c r="B41" s="11" t="inlineStr">
        <is>
          <t>Z</t>
        </is>
      </c>
      <c r="C41" s="12" t="inlineStr">
        <is>
          <t>Simultaneous registration of the same athlete. Nate (as admin) and Julia (as club manager) both register the same athlete for the same event at the same moment</t>
        </is>
      </c>
      <c r="D41" s="13" t="n"/>
    </row>
    <row r="42">
      <c r="A42" s="10" t="inlineStr">
        <is>
          <t>Z-03</t>
        </is>
      </c>
      <c r="B42" s="11" t="inlineStr">
        <is>
          <t>Z</t>
        </is>
      </c>
      <c r="C42" s="12" t="inlineStr">
        <is>
          <t>✅ UNHELD 2026-08-24 — the capacity rework is live. Simultaneous capacity fill: set a per-discipline or per-level cap where you'll collide, both check out at once</t>
        </is>
      </c>
      <c r="D42" s="13" t="n"/>
    </row>
    <row r="43">
      <c r="A43" s="10" t="inlineStr">
        <is>
          <t>Z-04</t>
        </is>
      </c>
      <c r="B43" s="11" t="inlineStr">
        <is>
          <t>Z</t>
        </is>
      </c>
      <c r="C43" s="12" t="inlineStr">
        <is>
          <t>Simultaneous refund approval. Both approve the same refund request at the same moment</t>
        </is>
      </c>
      <c r="D43" s="13" t="n"/>
    </row>
    <row r="44">
      <c r="A44" s="10" t="inlineStr">
        <is>
          <t>Z-05</t>
        </is>
      </c>
      <c r="B44" s="11" t="inlineStr">
        <is>
          <t>Z</t>
        </is>
      </c>
      <c r="C44" s="12" t="inlineStr">
        <is>
          <t>Edit collision. Both open the same event's settings and save different changes</t>
        </is>
      </c>
      <c r="D44" s="13" t="n"/>
    </row>
    <row r="45">
      <c r="A45" s="10" t="inlineStr">
        <is>
          <t>Z-06</t>
        </is>
      </c>
      <c r="B45" s="11" t="inlineStr">
        <is>
          <t>Z</t>
        </is>
      </c>
      <c r="C45" s="12" t="inlineStr">
        <is>
          <t>Judge collision. Both enter a different score for the same athlete/apparatus at the same time</t>
        </is>
      </c>
      <c r="D45" s="13" t="n"/>
    </row>
    <row r="46" ht="20" customHeight="1">
      <c r="A46" s="9" t="inlineStr">
        <is>
          <t>E  -  Email &amp; SMS deliverability</t>
        </is>
      </c>
    </row>
    <row r="47">
      <c r="A47" s="10" t="inlineStr">
        <is>
          <t>E-01</t>
        </is>
      </c>
      <c r="B47" s="11" t="inlineStr">
        <is>
          <t>E</t>
        </is>
      </c>
      <c r="C47" s="12" t="inlineStr">
        <is>
          <t>Trigger each of these and check all four points: signup confirmation, password reset, account invite, club invite, membership welcome, payment/registration confirmation, waiver request, guardian waiver request, sanction submitted, sanction approved, refund requested, refund approved, refund rejected</t>
        </is>
      </c>
      <c r="D47" s="13" t="n"/>
    </row>
    <row r="48">
      <c r="A48" s="10" t="inlineStr">
        <is>
          <t>E-02</t>
        </is>
      </c>
      <c r="B48" s="11" t="inlineStr">
        <is>
          <t>E</t>
        </is>
      </c>
      <c r="C48" s="12" t="inlineStr">
        <is>
          <t>Per-event confirmation email: set a custom body on an event, then register for it (spec §A/§I)</t>
        </is>
      </c>
      <c r="D48" s="13" t="n"/>
    </row>
    <row r="49">
      <c r="A49" s="10" t="inlineStr">
        <is>
          <t>E-03</t>
        </is>
      </c>
      <c r="B49" s="11" t="inlineStr">
        <is>
          <t>E</t>
        </is>
      </c>
      <c r="C49" s="12" t="inlineStr">
        <is>
          <t>Set a from-alias and reply-to on an event, then trigger its confirmation</t>
        </is>
      </c>
      <c r="D49" s="13" t="n"/>
    </row>
    <row r="50">
      <c r="A50" s="10" t="inlineStr">
        <is>
          <t>E-04</t>
        </is>
      </c>
      <c r="B50" s="11" t="inlineStr">
        <is>
          <t>E</t>
        </is>
      </c>
      <c r="C50" s="12" t="inlineStr">
        <is>
          <t>Turn on cc the director and register</t>
        </is>
      </c>
      <c r="D50" s="13" t="n"/>
    </row>
    <row r="51">
      <c r="A51" s="10" t="inlineStr">
        <is>
          <t>E-05</t>
        </is>
      </c>
      <c r="B51" s="11" t="inlineStr">
        <is>
          <t>E</t>
        </is>
      </c>
      <c r="C51" s="12" t="inlineStr">
        <is>
          <t>Admin Communicate: send an email to a filtered group</t>
        </is>
      </c>
      <c r="D51" s="13" t="n"/>
    </row>
    <row r="52">
      <c r="A52" s="10" t="inlineStr">
        <is>
          <t>E-06</t>
        </is>
      </c>
      <c r="B52" s="11" t="inlineStr">
        <is>
          <t>E</t>
        </is>
      </c>
      <c r="C52" s="12" t="inlineStr">
        <is>
          <t>Admin Communicate: use the test send</t>
        </is>
      </c>
      <c r="D52" s="13" t="n"/>
    </row>
    <row r="53">
      <c r="A53" s="10" t="inlineStr">
        <is>
          <t>E-07</t>
        </is>
      </c>
      <c r="B53" s="11" t="inlineStr">
        <is>
          <t>E</t>
        </is>
      </c>
      <c r="C53" s="12" t="inlineStr">
        <is>
          <t>Event Communicate as a host (not an admin)</t>
        </is>
      </c>
      <c r="D53" s="13" t="n"/>
    </row>
    <row r="54">
      <c r="A54" s="10" t="inlineStr">
        <is>
          <t>E-08</t>
        </is>
      </c>
      <c r="B54" s="11" t="inlineStr">
        <is>
          <t>E</t>
        </is>
      </c>
      <c r="C54" s="12" t="inlineStr">
        <is>
          <t>Event Communicate: filter by session, level, discipline</t>
        </is>
      </c>
      <c r="D54" s="13" t="n"/>
    </row>
    <row r="55">
      <c r="A55" s="10" t="inlineStr">
        <is>
          <t>E-09</t>
        </is>
      </c>
      <c r="B55" s="11" t="inlineStr">
        <is>
          <t>E</t>
        </is>
      </c>
      <c r="C55" s="12" t="inlineStr">
        <is>
          <t>Send an SMS to yourself from admin Communicate</t>
        </is>
      </c>
      <c r="D55" s="13" t="n"/>
    </row>
    <row r="56">
      <c r="A56" s="10" t="inlineStr">
        <is>
          <t>E-10</t>
        </is>
      </c>
      <c r="B56" s="11" t="inlineStr">
        <is>
          <t>E</t>
        </is>
      </c>
      <c r="C56" s="12" t="inlineStr">
        <is>
          <t>Reply STOP to that SMS, then try to send to that number again</t>
        </is>
      </c>
      <c r="D56" s="13" t="n"/>
    </row>
    <row r="57">
      <c r="A57" s="10" t="inlineStr">
        <is>
          <t>E-11</t>
        </is>
      </c>
      <c r="B57" s="11" t="inlineStr">
        <is>
          <t>E</t>
        </is>
      </c>
      <c r="C57" s="12" t="inlineStr">
        <is>
          <t>Check the sent log after E-05 and E-09</t>
        </is>
      </c>
      <c r="D57" s="13" t="n"/>
    </row>
    <row r="58">
      <c r="A58" s="10" t="inlineStr">
        <is>
          <t>E-12</t>
        </is>
      </c>
      <c r="B58" s="11" t="inlineStr">
        <is>
          <t>E</t>
        </is>
      </c>
      <c r="C58" s="12" t="inlineStr">
        <is>
          <t>Open the three most important emails on a phone</t>
        </is>
      </c>
      <c r="D58" s="13" t="n"/>
    </row>
    <row r="59">
      <c r="A59" s="10" t="inlineStr">
        <is>
          <t>E-13</t>
        </is>
      </c>
      <c r="B59" s="11" t="inlineStr">
        <is>
          <t>E</t>
        </is>
      </c>
      <c r="C59" s="12" t="inlineStr">
        <is>
          <t>Check whether any of the above landed in spam or Promotions</t>
        </is>
      </c>
      <c r="D59" s="13" t="n"/>
    </row>
    <row r="60" ht="20" customHeight="1">
      <c r="A60" s="9" t="inlineStr">
        <is>
          <t>G  -  Athlete self-service registration</t>
        </is>
      </c>
    </row>
    <row r="61">
      <c r="A61" s="10" t="inlineStr">
        <is>
          <t>G-01</t>
        </is>
      </c>
      <c r="B61" s="11" t="inlineStr">
        <is>
          <t>G</t>
        </is>
      </c>
      <c r="C61" s="12" t="inlineStr">
        <is>
          <t>As a non-member, open an event and try to register</t>
        </is>
      </c>
      <c r="D61" s="13" t="n"/>
    </row>
    <row r="62">
      <c r="A62" s="10" t="inlineStr">
        <is>
          <t>G-02</t>
        </is>
      </c>
      <c r="B62" s="11" t="inlineStr">
        <is>
          <t>G</t>
        </is>
      </c>
      <c r="C62" s="12" t="inlineStr">
        <is>
          <t>Buy the membership through that link, return, register</t>
        </is>
      </c>
      <c r="D62" s="13" t="n"/>
    </row>
    <row r="63">
      <c r="A63" s="10" t="inlineStr">
        <is>
          <t>G-03</t>
        </is>
      </c>
      <c r="B63" s="11" t="inlineStr">
        <is>
          <t>G</t>
        </is>
      </c>
      <c r="C63" s="12" t="inlineStr">
        <is>
          <t>Register while signed out</t>
        </is>
      </c>
      <c r="D63" s="13" t="n"/>
    </row>
    <row r="64">
      <c r="A64" s="10" t="inlineStr">
        <is>
          <t>G-04</t>
        </is>
      </c>
      <c r="B64" s="11" t="inlineStr">
        <is>
          <t>G</t>
        </is>
      </c>
      <c r="C64" s="12" t="inlineStr">
        <is>
          <t>Registration popup: choose disciplines, level, apparatus, all-around</t>
        </is>
      </c>
      <c r="D64" s="13" t="n"/>
    </row>
    <row r="65">
      <c r="A65" s="10" t="inlineStr">
        <is>
          <t>G-05</t>
        </is>
      </c>
      <c r="B65" s="11" t="inlineStr">
        <is>
          <t>G</t>
        </is>
      </c>
      <c r="C65" s="12" t="inlineStr">
        <is>
          <t>T&amp;T: register for multiple disciplines with per-apparatus levels</t>
        </is>
      </c>
      <c r="D65" s="13" t="n"/>
    </row>
    <row r="66">
      <c r="A66" s="10" t="inlineStr">
        <is>
          <t>G-06</t>
        </is>
      </c>
      <c r="B66" s="11" t="inlineStr">
        <is>
          <t>G</t>
        </is>
      </c>
      <c r="C66" s="12" t="inlineStr">
        <is>
          <t>T&amp;T: try to remove your last remaining discipline</t>
        </is>
      </c>
      <c r="D66" s="13" t="n"/>
    </row>
    <row r="67">
      <c r="A67" s="10" t="inlineStr">
        <is>
          <t>G-07</t>
        </is>
      </c>
      <c r="B67" s="11" t="inlineStr">
        <is>
          <t>G</t>
        </is>
      </c>
      <c r="C67" s="12" t="inlineStr">
        <is>
          <t>Synchro: pick a partner from the member list</t>
        </is>
      </c>
      <c r="D67" s="13" t="n"/>
    </row>
    <row r="68">
      <c r="A68" s="10" t="inlineStr">
        <is>
          <t>G-08</t>
        </is>
      </c>
      <c r="B68" s="11" t="inlineStr">
        <is>
          <t>G</t>
        </is>
      </c>
      <c r="C68" s="12" t="inlineStr">
        <is>
          <t>Have your partner pick someone else</t>
        </is>
      </c>
      <c r="D68" s="13" t="n"/>
    </row>
    <row r="69">
      <c r="A69" s="10" t="inlineStr">
        <is>
          <t>G-09</t>
        </is>
      </c>
      <c r="B69" s="11" t="inlineStr">
        <is>
          <t>G</t>
        </is>
      </c>
      <c r="C69" s="12" t="inlineStr">
        <is>
          <t>Add-ons in the popup (banquet / t-shirt / leo / banner)</t>
        </is>
      </c>
      <c r="D69" s="13" t="n"/>
    </row>
    <row r="70">
      <c r="A70" s="10" t="inlineStr">
        <is>
          <t>G-10</t>
        </is>
      </c>
      <c r="B70" s="11" t="inlineStr">
        <is>
          <t>G</t>
        </is>
      </c>
      <c r="C70" s="12" t="inlineStr">
        <is>
          <t>Banquet tickets: buy 2 for yourself</t>
        </is>
      </c>
      <c r="D70" s="13" t="n"/>
    </row>
    <row r="71">
      <c r="A71" s="10" t="inlineStr">
        <is>
          <t>G-11</t>
        </is>
      </c>
      <c r="B71" s="11" t="inlineStr">
        <is>
          <t>G</t>
        </is>
      </c>
      <c r="C71" s="12" t="inlineStr">
        <is>
          <t>Survey questions (where enabled)</t>
        </is>
      </c>
      <c r="D71" s="13" t="n"/>
    </row>
    <row r="72">
      <c r="A72" s="10" t="inlineStr">
        <is>
          <t>G-12</t>
        </is>
      </c>
      <c r="B72" s="11" t="inlineStr">
        <is>
          <t>G</t>
        </is>
      </c>
      <c r="C72" s="12" t="inlineStr">
        <is>
          <t>Check #/me/registrations</t>
        </is>
      </c>
      <c r="D72" s="13" t="n"/>
    </row>
    <row r="73">
      <c r="A73" s="10" t="inlineStr">
        <is>
          <t>G-13</t>
        </is>
      </c>
      <c r="B73" s="11" t="inlineStr">
        <is>
          <t>G</t>
        </is>
      </c>
      <c r="C73" s="12" t="inlineStr">
        <is>
          <t>Edit a competition detail after paying</t>
        </is>
      </c>
      <c r="D73" s="13" t="n"/>
    </row>
    <row r="74">
      <c r="A74" s="10" t="inlineStr">
        <is>
          <t>G-14</t>
        </is>
      </c>
      <c r="B74" s="11" t="inlineStr">
        <is>
          <t>G</t>
        </is>
      </c>
      <c r="C74" s="12" t="inlineStr">
        <is>
          <t>Edit an add-on or a survey answer after paying</t>
        </is>
      </c>
      <c r="D74" s="13" t="n"/>
    </row>
    <row r="75">
      <c r="A75" s="10" t="inlineStr">
        <is>
          <t>G-15</t>
        </is>
      </c>
      <c r="B75" s="11" t="inlineStr">
        <is>
          <t>G</t>
        </is>
      </c>
      <c r="C75" s="12" t="inlineStr">
        <is>
          <t>Try to edit after the change deadline</t>
        </is>
      </c>
      <c r="D75" s="13" t="n"/>
    </row>
    <row r="76">
      <c r="A76" s="10" t="inlineStr">
        <is>
          <t>G-16</t>
        </is>
      </c>
      <c r="B76" s="11" t="inlineStr">
        <is>
          <t>G</t>
        </is>
      </c>
      <c r="C76" s="12" t="inlineStr">
        <is>
          <t>Register during the late-registration window (at or after the event's late-reg start time)</t>
        </is>
      </c>
      <c r="D76" s="13" t="n"/>
    </row>
    <row r="77">
      <c r="A77" s="10" t="inlineStr">
        <is>
          <t>G-17</t>
        </is>
      </c>
      <c r="B77" s="11" t="inlineStr">
        <is>
          <t>G</t>
        </is>
      </c>
      <c r="C77" s="12" t="inlineStr">
        <is>
          <t>Look for the private registration code path (spec §D)</t>
        </is>
      </c>
      <c r="D77" s="13" t="n"/>
    </row>
    <row r="78">
      <c r="A78" s="10" t="inlineStr">
        <is>
          <t>G-18</t>
        </is>
      </c>
      <c r="B78" s="11" t="inlineStr">
        <is>
          <t>G</t>
        </is>
      </c>
      <c r="C78" s="12" t="inlineStr">
        <is>
          <t>Copy the event link with the copy-link button, open it in incognito</t>
        </is>
      </c>
      <c r="D78" s="13" t="n"/>
    </row>
    <row r="79">
      <c r="A79" s="10" t="inlineStr">
        <is>
          <t>G-19</t>
        </is>
      </c>
      <c r="B79" s="11" t="inlineStr">
        <is>
          <t>G</t>
        </is>
      </c>
      <c r="C79" s="12" t="inlineStr">
        <is>
          <t>Register for an event in a different timezone than yours</t>
        </is>
      </c>
      <c r="D79" s="13" t="n"/>
    </row>
    <row r="80">
      <c r="A80" s="10" t="inlineStr">
        <is>
          <t>G-20</t>
        </is>
      </c>
      <c r="B80" s="11" t="inlineStr">
        <is>
          <t>G</t>
        </is>
      </c>
      <c r="C80" s="12" t="inlineStr">
        <is>
          <t>Request a refund on one of your registrations (self-serve popup)</t>
        </is>
      </c>
      <c r="D80" s="13" t="n"/>
    </row>
    <row r="81" ht="20" customHeight="1">
      <c r="A81" s="9" t="inlineStr">
        <is>
          <t>W  -  Membership &amp; waivers</t>
        </is>
      </c>
    </row>
    <row r="82">
      <c r="A82" s="10" t="inlineStr">
        <is>
          <t>W-01</t>
        </is>
      </c>
      <c r="B82" s="11" t="inlineStr">
        <is>
          <t>W</t>
        </is>
      </c>
      <c r="C82" s="12" t="inlineStr">
        <is>
          <t>Buy an athlete membership end to end</t>
        </is>
      </c>
      <c r="D82" s="13" t="n"/>
    </row>
    <row r="83">
      <c r="A83" s="10" t="inlineStr">
        <is>
          <t>W-02</t>
        </is>
      </c>
      <c r="B83" s="11" t="inlineStr">
        <is>
          <t>W</t>
        </is>
      </c>
      <c r="C83" s="12" t="inlineStr">
        <is>
          <t>Buy a coach membership</t>
        </is>
      </c>
      <c r="D83" s="13" t="n"/>
    </row>
    <row r="84">
      <c r="A84" s="10" t="inlineStr">
        <is>
          <t>W-03</t>
        </is>
      </c>
      <c r="B84" s="11" t="inlineStr">
        <is>
          <t>W</t>
        </is>
      </c>
      <c r="C84" s="12" t="inlineStr">
        <is>
          <t>Sign the waiver inline during purchase</t>
        </is>
      </c>
      <c r="D84" s="13" t="n"/>
    </row>
    <row r="85">
      <c r="A85" s="10" t="inlineStr">
        <is>
          <t>W-04</t>
        </is>
      </c>
      <c r="B85" s="11" t="inlineStr">
        <is>
          <t>W</t>
        </is>
      </c>
      <c r="C85" s="12" t="inlineStr">
        <is>
          <t>Sign via the emailed direct link as an adult</t>
        </is>
      </c>
      <c r="D85" s="13" t="n"/>
    </row>
    <row r="86">
      <c r="A86" s="10" t="inlineStr">
        <is>
          <t>W-05</t>
        </is>
      </c>
      <c r="B86" s="11" t="inlineStr">
        <is>
          <t>W</t>
        </is>
      </c>
      <c r="C86" s="12" t="inlineStr">
        <is>
          <t>Guardian path: a minor's membership triggers a guardian waiver request</t>
        </is>
      </c>
      <c r="D86" s="13" t="n"/>
    </row>
    <row r="87">
      <c r="A87" s="10" t="inlineStr">
        <is>
          <t>W-06</t>
        </is>
      </c>
      <c r="B87" s="11" t="inlineStr">
        <is>
          <t>W</t>
        </is>
      </c>
      <c r="C87" s="12" t="inlineStr">
        <is>
          <t>Try signing with the wrong name on the direct link</t>
        </is>
      </c>
      <c r="D87" s="13" t="n"/>
    </row>
    <row r="88">
      <c r="A88" s="10" t="inlineStr">
        <is>
          <t>W-07</t>
        </is>
      </c>
      <c r="B88" s="11" t="inlineStr">
        <is>
          <t>W</t>
        </is>
      </c>
      <c r="C88" s="12" t="inlineStr">
        <is>
          <t>Membership where the club is paying: buy while the club cart is unpaid</t>
        </is>
      </c>
      <c r="D88" s="13" t="n"/>
    </row>
    <row r="89">
      <c r="A89" s="10" t="inlineStr">
        <is>
          <t>W-08</t>
        </is>
      </c>
      <c r="B89" s="11" t="inlineStr">
        <is>
          <t>W</t>
        </is>
      </c>
      <c r="C89" s="12" t="inlineStr">
        <is>
          <t>Same membership after the club pays</t>
        </is>
      </c>
      <c r="D89" s="13" t="n"/>
    </row>
    <row r="90">
      <c r="A90" s="10" t="inlineStr">
        <is>
          <t>W-09</t>
        </is>
      </c>
      <c r="B90" s="11" t="inlineStr">
        <is>
          <t>W</t>
        </is>
      </c>
      <c r="C90" s="12" t="inlineStr">
        <is>
          <t>A membership with both a waiver hold and a club-payment hold</t>
        </is>
      </c>
      <c r="D90" s="13" t="n"/>
    </row>
    <row r="91">
      <c r="A91" s="10" t="inlineStr">
        <is>
          <t>W-10</t>
        </is>
      </c>
      <c r="B91" s="11" t="inlineStr">
        <is>
          <t>W</t>
        </is>
      </c>
      <c r="C91" s="12" t="inlineStr">
        <is>
          <t>Admin view of who has signed which waiver version (#/admin/league → Waivers)</t>
        </is>
      </c>
      <c r="D91" s="13" t="n"/>
    </row>
    <row r="92">
      <c r="A92" s="10" t="inlineStr">
        <is>
          <t>W-11</t>
        </is>
      </c>
      <c r="B92" s="11" t="inlineStr">
        <is>
          <t>W</t>
        </is>
      </c>
      <c r="C92" s="12" t="inlineStr">
        <is>
          <t>Publish a new waiver version, then check an existing signature</t>
        </is>
      </c>
      <c r="D92" s="13" t="n"/>
    </row>
    <row r="93">
      <c r="A93" s="10" t="inlineStr">
        <is>
          <t>W-12</t>
        </is>
      </c>
      <c r="B93" s="11" t="inlineStr">
        <is>
          <t>W</t>
        </is>
      </c>
      <c r="C93" s="12" t="inlineStr">
        <is>
          <t>Buy a membership for a past/future season</t>
        </is>
      </c>
      <c r="D93" s="13" t="n"/>
    </row>
    <row r="94" ht="20" customHeight="1">
      <c r="A94" s="9" t="inlineStr">
        <is>
          <t>K  -  Camps  (Julia)</t>
        </is>
      </c>
    </row>
    <row r="95">
      <c r="A95" s="10" t="inlineStr">
        <is>
          <t>K-01</t>
        </is>
      </c>
      <c r="B95" s="11" t="inlineStr">
        <is>
          <t>K</t>
        </is>
      </c>
      <c r="C95" s="12" t="inlineStr">
        <is>
          <t>Open a camp event as an athlete and register</t>
        </is>
      </c>
      <c r="D95" s="13" t="n"/>
    </row>
    <row r="96">
      <c r="A96" s="10" t="inlineStr">
        <is>
          <t>K-02</t>
        </is>
      </c>
      <c r="B96" s="11" t="inlineStr">
        <is>
          <t>K</t>
        </is>
      </c>
      <c r="C96" s="12" t="inlineStr">
        <is>
          <t>Register for a camp without a club membership</t>
        </is>
      </c>
      <c r="D96" s="13" t="n"/>
    </row>
    <row r="97">
      <c r="A97" s="10" t="inlineStr">
        <is>
          <t>K-03</t>
        </is>
      </c>
      <c r="B97" s="11" t="inlineStr">
        <is>
          <t>K</t>
        </is>
      </c>
      <c r="C97" s="12" t="inlineStr">
        <is>
          <t>Register for a camp without an individual membership</t>
        </is>
      </c>
      <c r="D97" s="13" t="n"/>
    </row>
    <row r="98">
      <c r="A98" s="10" t="inlineStr">
        <is>
          <t>K-04</t>
        </is>
      </c>
      <c r="B98" s="11" t="inlineStr">
        <is>
          <t>K</t>
        </is>
      </c>
      <c r="C98" s="12" t="inlineStr">
        <is>
          <t>Fill in the overnight survey (bedtime / noise / cabin gender / roommate)</t>
        </is>
      </c>
      <c r="D98" s="13" t="n"/>
    </row>
    <row r="99">
      <c r="A99" s="10" t="inlineStr">
        <is>
          <t>K-05</t>
        </is>
      </c>
      <c r="B99" s="11" t="inlineStr">
        <is>
          <t>K</t>
        </is>
      </c>
      <c r="C99" s="12" t="inlineStr">
        <is>
          <t>Edit the survey after registering</t>
        </is>
      </c>
      <c r="D99" s="13" t="n"/>
    </row>
    <row r="100">
      <c r="A100" s="10" t="inlineStr">
        <is>
          <t>K-06</t>
        </is>
      </c>
      <c r="B100" s="11" t="inlineStr">
        <is>
          <t>K</t>
        </is>
      </c>
      <c r="C100" s="12" t="inlineStr">
        <is>
          <t>Camp add-ons (leo/shirt)</t>
        </is>
      </c>
      <c r="D100" s="13" t="n"/>
    </row>
    <row r="101">
      <c r="A101" s="10" t="inlineStr">
        <is>
          <t>K-07</t>
        </is>
      </c>
      <c r="B101" s="11" t="inlineStr">
        <is>
          <t>K</t>
        </is>
      </c>
      <c r="C101" s="12" t="inlineStr">
        <is>
          <t>Camp confirmation email</t>
        </is>
      </c>
      <c r="D101" s="13" t="n"/>
    </row>
    <row r="102">
      <c r="A102" s="10" t="inlineStr">
        <is>
          <t>K-08</t>
        </is>
      </c>
      <c r="B102" s="11" t="inlineStr">
        <is>
          <t>K</t>
        </is>
      </c>
      <c r="C102" s="12" t="inlineStr">
        <is>
          <t>Camp export (admin/host)</t>
        </is>
      </c>
      <c r="D102" s="13" t="n"/>
    </row>
    <row r="103">
      <c r="A103" s="10" t="inlineStr">
        <is>
          <t>K-09</t>
        </is>
      </c>
      <c r="B103" s="11" t="inlineStr">
        <is>
          <t>K</t>
        </is>
      </c>
      <c r="C103" s="12" t="inlineStr">
        <is>
          <t>As a club manager, look at the club page's event picker</t>
        </is>
      </c>
      <c r="D103" s="13" t="n"/>
    </row>
    <row r="104">
      <c r="A104" s="10" t="inlineStr">
        <is>
          <t>K-10</t>
        </is>
      </c>
      <c r="B104" s="11" t="inlineStr">
        <is>
          <t>K</t>
        </is>
      </c>
      <c r="C104" s="12" t="inlineStr">
        <is>
          <t>Edit a camp registration made before 2026-07-23 if any exist</t>
        </is>
      </c>
      <c r="D104" s="13" t="n"/>
    </row>
    <row r="105" ht="20" customHeight="1">
      <c r="A105" s="9" t="inlineStr">
        <is>
          <t>C  -  Club manager</t>
        </is>
      </c>
    </row>
    <row r="106">
      <c r="A106" s="10" t="inlineStr">
        <is>
          <t>C-01</t>
        </is>
      </c>
      <c r="B106" s="11" t="inlineStr">
        <is>
          <t>C</t>
        </is>
      </c>
      <c r="C106" s="12" t="inlineStr">
        <is>
          <t>Club roster: add an athlete, edit one, remove one</t>
        </is>
      </c>
      <c r="D106" s="13" t="n"/>
    </row>
    <row r="107">
      <c r="A107" s="10" t="inlineStr">
        <is>
          <t>C-02</t>
        </is>
      </c>
      <c r="B107" s="11" t="inlineStr">
        <is>
          <t>C</t>
        </is>
      </c>
      <c r="C107" s="12" t="inlineStr">
        <is>
          <t>Send a club invite; accept it from the other side</t>
        </is>
      </c>
      <c r="D107" s="13" t="n"/>
    </row>
    <row r="108">
      <c r="A108" s="10" t="inlineStr">
        <is>
          <t>C-03</t>
        </is>
      </c>
      <c r="B108" s="11" t="inlineStr">
        <is>
          <t>C</t>
        </is>
      </c>
      <c r="C108" s="12" t="inlineStr">
        <is>
          <t>Registered-athletes card: check the status bubbles</t>
        </is>
      </c>
      <c r="D108" s="13" t="n"/>
    </row>
    <row r="109">
      <c r="A109" s="10" t="inlineStr">
        <is>
          <t>C-04</t>
        </is>
      </c>
      <c r="B109" s="11" t="inlineStr">
        <is>
          <t>C</t>
        </is>
      </c>
      <c r="C109" s="12" t="inlineStr">
        <is>
          <t>Swap an athlete in an existing registration</t>
        </is>
      </c>
      <c r="D109" s="13" t="n"/>
    </row>
    <row r="110">
      <c r="A110" s="10" t="inlineStr">
        <is>
          <t>C-05</t>
        </is>
      </c>
      <c r="B110" s="11" t="inlineStr">
        <is>
          <t>C</t>
        </is>
      </c>
      <c r="C110" s="12" t="inlineStr">
        <is>
          <t>Register several athletes at once and check out as the club</t>
        </is>
      </c>
      <c r="D110" s="13" t="n"/>
    </row>
    <row r="111">
      <c r="A111" s="10" t="inlineStr">
        <is>
          <t>C-06</t>
        </is>
      </c>
      <c r="B111" s="11" t="inlineStr">
        <is>
          <t>C</t>
        </is>
      </c>
      <c r="C111" s="12" t="inlineStr">
        <is>
          <t>Add-ons card: assign banquet tickets to specific athletes/coaches and to "EXTRA"</t>
        </is>
      </c>
      <c r="D111" s="13" t="n"/>
    </row>
    <row r="112">
      <c r="A112" s="10" t="inlineStr">
        <is>
          <t>C-07</t>
        </is>
      </c>
      <c r="B112" s="11" t="inlineStr">
        <is>
          <t>C</t>
        </is>
      </c>
      <c r="C112" s="12" t="inlineStr">
        <is>
          <t>T-shirts/leos: quantity + size per unit</t>
        </is>
      </c>
      <c r="D112" s="13" t="n"/>
    </row>
    <row r="113">
      <c r="A113" s="10" t="inlineStr">
        <is>
          <t>C-08</t>
        </is>
      </c>
      <c r="B113" s="11" t="inlineStr">
        <is>
          <t>C</t>
        </is>
      </c>
      <c r="C113" s="12" t="inlineStr">
        <is>
          <t>Club banner: 1 per club with an exact-name text box</t>
        </is>
      </c>
      <c r="D113" s="13" t="n"/>
    </row>
    <row r="114">
      <c r="A114" s="10" t="inlineStr">
        <is>
          <t>C-09</t>
        </is>
      </c>
      <c r="B114" s="11" t="inlineStr">
        <is>
          <t>C</t>
        </is>
      </c>
      <c r="C114" s="12" t="inlineStr">
        <is>
          <t>Members-without-membership card</t>
        </is>
      </c>
      <c r="D114" s="13" t="n"/>
    </row>
    <row r="115">
      <c r="A115" s="10" t="inlineStr">
        <is>
          <t>C-10</t>
        </is>
      </c>
      <c r="B115" s="11" t="inlineStr">
        <is>
          <t>C</t>
        </is>
      </c>
      <c r="C115" s="12" t="inlineStr">
        <is>
          <t>"Create new athlete" (first/last/email) from that card</t>
        </is>
      </c>
      <c r="D115" s="13" t="n"/>
    </row>
    <row r="116">
      <c r="A116" s="10" t="inlineStr">
        <is>
          <t>C-11</t>
        </is>
      </c>
      <c r="B116" s="11" t="inlineStr">
        <is>
          <t>C</t>
        </is>
      </c>
      <c r="C116" s="12" t="inlineStr">
        <is>
          <t>Set Competition Order (MAG/WAG only, not T&amp;T)</t>
        </is>
      </c>
      <c r="D116" s="13" t="n"/>
    </row>
    <row r="117">
      <c r="A117" s="10" t="inlineStr">
        <is>
          <t>C-12</t>
        </is>
      </c>
      <c r="B117" s="11" t="inlineStr">
        <is>
          <t>C</t>
        </is>
      </c>
      <c r="C117" s="12" t="inlineStr">
        <is>
          <t>Admin ticks the lock competition orders checkbox; look again as the club</t>
        </is>
      </c>
      <c r="D117" s="13" t="n"/>
    </row>
    <row r="118">
      <c r="A118" s="10" t="inlineStr">
        <is>
          <t>C-13</t>
        </is>
      </c>
      <c r="B118" s="11" t="inlineStr">
        <is>
          <t>C</t>
        </is>
      </c>
      <c r="C118" s="12" t="inlineStr">
        <is>
          <t>Try to view another club's roster or registrations by editing the URL</t>
        </is>
      </c>
      <c r="D118" s="13" t="n"/>
    </row>
    <row r="119">
      <c r="A119" s="10" t="inlineStr">
        <is>
          <t>C-14</t>
        </is>
      </c>
      <c r="B119" s="11" t="inlineStr">
        <is>
          <t>C</t>
        </is>
      </c>
      <c r="C119" s="12" t="inlineStr">
        <is>
          <t>Per-line refund request from the registered-athletes card</t>
        </is>
      </c>
      <c r="D119" s="13" t="n"/>
    </row>
    <row r="120">
      <c r="A120" s="10" t="inlineStr">
        <is>
          <t>C-15</t>
        </is>
      </c>
      <c r="B120" s="11" t="inlineStr">
        <is>
          <t>C</t>
        </is>
      </c>
      <c r="C120" s="12" t="inlineStr">
        <is>
          <t>Club Cart &amp; Receipts</t>
        </is>
      </c>
      <c r="D120" s="13" t="n"/>
    </row>
    <row r="121" ht="20" customHeight="1">
      <c r="A121" s="9" t="inlineStr">
        <is>
          <t>P  -  Capacity, waitlists &amp; by-session registration</t>
        </is>
      </c>
    </row>
    <row r="122">
      <c r="A122" s="10" t="inlineStr">
        <is>
          <t>P-01</t>
        </is>
      </c>
      <c r="B122" s="11" t="inlineStr">
        <is>
          <t>P</t>
        </is>
      </c>
      <c r="C122" s="12" t="inlineStr">
        <is>
          <t>REWORKED 2026-08-24: confirm the old total participant cap is gone from the wizard (a legacy-cap notice appears on events that had one), then set a per-discipline cap and fill it</t>
        </is>
      </c>
      <c r="D122" s="13" t="n"/>
    </row>
    <row r="123">
      <c r="A123" s="10" t="inlineStr">
        <is>
          <t>P-02</t>
        </is>
      </c>
      <c r="B123" s="11" t="inlineStr">
        <is>
          <t>P</t>
        </is>
      </c>
      <c r="C123" s="12" t="inlineStr">
        <is>
          <t>Per-level caps via the new per-discipline chooser (No cap / one cap for the discipline / per-level caps); fill one level; try the explicit No cap option on another discipline</t>
        </is>
      </c>
      <c r="D123" s="13" t="n"/>
    </row>
    <row r="124">
      <c r="A124" s="10" t="inlineStr">
        <is>
          <t>P-03</t>
        </is>
      </c>
      <c r="B124" s="11" t="inlineStr">
        <is>
          <t>P</t>
        </is>
      </c>
      <c r="C124" s="12" t="inlineStr">
        <is>
          <t>T&amp;T: one cap for the whole discipline; fill it</t>
        </is>
      </c>
      <c r="D124" s="13" t="n"/>
    </row>
    <row r="125">
      <c r="A125" s="10" t="inlineStr">
        <is>
          <t>P-04</t>
        </is>
      </c>
      <c r="B125" s="11" t="inlineStr">
        <is>
          <t>P</t>
        </is>
      </c>
      <c r="C125" s="12" t="inlineStr">
        <is>
          <t>Partial fit: cap has 2 spots, try to register 3 athletes at one level</t>
        </is>
      </c>
      <c r="D125" s="13" t="n"/>
    </row>
    <row r="126">
      <c r="A126" s="10" t="inlineStr">
        <is>
          <t>P-05</t>
        </is>
      </c>
      <c r="B126" s="11" t="inlineStr">
        <is>
          <t>P</t>
        </is>
      </c>
      <c r="C126" s="12" t="inlineStr">
        <is>
          <t>Choose "waitlist the group"</t>
        </is>
      </c>
      <c r="D126" s="13" t="n"/>
    </row>
    <row r="127">
      <c r="A127" s="10" t="inlineStr">
        <is>
          <t>P-06</t>
        </is>
      </c>
      <c r="B127" s="11" t="inlineStr">
        <is>
          <t>P</t>
        </is>
      </c>
      <c r="C127" s="12" t="inlineStr">
        <is>
          <t>Free up space (refund/withdraw/raise the cap)</t>
        </is>
      </c>
      <c r="D127" s="13" t="n"/>
    </row>
    <row r="128">
      <c r="A128" s="10" t="inlineStr">
        <is>
          <t>P-07</t>
        </is>
      </c>
      <c r="B128" s="11" t="inlineStr">
        <is>
          <t>P</t>
        </is>
      </c>
      <c r="C128" s="12" t="inlineStr">
        <is>
          <t>Admin overrides a cap for one case</t>
        </is>
      </c>
      <c r="D128" s="13" t="n"/>
    </row>
    <row r="129">
      <c r="A129" s="10" t="inlineStr">
        <is>
          <t>P-08</t>
        </is>
      </c>
      <c r="B129" s="11" t="inlineStr">
        <is>
          <t>P</t>
        </is>
      </c>
      <c r="C129" s="12" t="inlineStr">
        <is>
          <t>Switch the event to by-session mode; create sessions with per-apparatus routine caps</t>
        </is>
      </c>
      <c r="D129" s="13" t="n"/>
    </row>
    <row r="130">
      <c r="A130" s="10" t="inlineStr">
        <is>
          <t>P-09</t>
        </is>
      </c>
      <c r="B130" s="11" t="inlineStr">
        <is>
          <t>P</t>
        </is>
      </c>
      <c r="C130" s="12" t="inlineStr">
        <is>
          <t>Try to register into a full session</t>
        </is>
      </c>
      <c r="D130" s="13" t="n"/>
    </row>
    <row r="131">
      <c r="A131" s="10" t="inlineStr">
        <is>
          <t>P-10</t>
        </is>
      </c>
      <c r="B131" s="11" t="inlineStr">
        <is>
          <t>P</t>
        </is>
      </c>
      <c r="C131" s="12" t="inlineStr">
        <is>
          <t>Checkout when a selected session lacks space</t>
        </is>
      </c>
      <c r="D131" s="13" t="n"/>
    </row>
    <row r="132">
      <c r="A132" s="10" t="inlineStr">
        <is>
          <t>P-11</t>
        </is>
      </c>
      <c r="B132" s="11" t="inlineStr">
        <is>
          <t>P</t>
        </is>
      </c>
      <c r="C132" s="12" t="inlineStr">
        <is>
          <t>Edit a registration to move sessions</t>
        </is>
      </c>
      <c r="D132" s="13" t="n"/>
    </row>
    <row r="133">
      <c r="A133" s="10" t="inlineStr">
        <is>
          <t>P-12</t>
        </is>
      </c>
      <c r="B133" s="11" t="inlineStr">
        <is>
          <t>P</t>
        </is>
      </c>
      <c r="C133" s="12" t="inlineStr">
        <is>
          <t>Change an athlete's level to one that doesn't fit their session</t>
        </is>
      </c>
      <c r="D133" s="13" t="n"/>
    </row>
    <row r="134">
      <c r="A134" s="10" t="inlineStr">
        <is>
          <t>P-13</t>
        </is>
      </c>
      <c r="B134" s="11" t="inlineStr">
        <is>
          <t>P</t>
        </is>
      </c>
      <c r="C134" s="12" t="inlineStr">
        <is>
          <t>Start a checkout that reserves capacity, then abandon it. Wait ~30 min</t>
        </is>
      </c>
      <c r="D134" s="13" t="n"/>
    </row>
    <row r="135">
      <c r="A135" s="10" t="inlineStr">
        <is>
          <t>P-14</t>
        </is>
      </c>
      <c r="B135" s="11" t="inlineStr">
        <is>
          <t>P</t>
        </is>
      </c>
      <c r="C135" s="12" t="inlineStr">
        <is>
          <t>NEW: cap inputs refuse 0 / negatives / fractions at entry; try lowering a cap below current registrations</t>
        </is>
      </c>
      <c r="D135" s="13" t="n"/>
    </row>
    <row r="136">
      <c r="A136" s="10" t="inlineStr">
        <is>
          <t>P-15</t>
        </is>
      </c>
      <c r="B136" s="11" t="inlineStr">
        <is>
          <t>P</t>
        </is>
      </c>
      <c r="C136" s="12" t="inlineStr">
        <is>
          <t>NEW: capacity progress card (host/admin, event page)</t>
        </is>
      </c>
      <c r="D136" s="13" t="n"/>
    </row>
    <row r="137">
      <c r="A137" s="10" t="inlineStr">
        <is>
          <t>P-16</t>
        </is>
      </c>
      <c r="B137" s="11" t="inlineStr">
        <is>
          <t>P</t>
        </is>
      </c>
      <c r="C137" s="12" t="inlineStr">
        <is>
          <t>NEW: by-session progress — click a session bar</t>
        </is>
      </c>
      <c r="D137" s="13" t="n"/>
    </row>
    <row r="138">
      <c r="A138" s="10" t="inlineStr">
        <is>
          <t>P-17</t>
        </is>
      </c>
      <c r="B138" s="11" t="inlineStr">
        <is>
          <t>P</t>
        </is>
      </c>
      <c r="C138" s="12" t="inlineStr">
        <is>
          <t>NEW: a by-session event with leftover discipline/level caps in its old config</t>
        </is>
      </c>
      <c r="D138" s="13" t="n"/>
    </row>
    <row r="139" ht="20" customHeight="1">
      <c r="A139" s="9" t="inlineStr">
        <is>
          <t>H  -  Sanctioning &amp; event hosting</t>
        </is>
      </c>
    </row>
    <row r="140">
      <c r="A140" s="10" t="inlineStr">
        <is>
          <t>H-01</t>
        </is>
      </c>
      <c r="B140" s="11" t="inlineStr">
        <is>
          <t>H</t>
        </is>
      </c>
      <c r="C140" s="12" t="inlineStr">
        <is>
          <t>Submit a sanction request with the full field set</t>
        </is>
      </c>
      <c r="D140" s="13" t="n"/>
    </row>
    <row r="141">
      <c r="A141" s="10" t="inlineStr">
        <is>
          <t>H-02</t>
        </is>
      </c>
      <c r="B141" s="11" t="inlineStr">
        <is>
          <t>H</t>
        </is>
      </c>
      <c r="C141" s="12" t="inlineStr">
        <is>
          <t>Vote on it from the sanctioning queue</t>
        </is>
      </c>
      <c r="D141" s="13" t="n"/>
    </row>
    <row r="142">
      <c r="A142" s="10" t="inlineStr">
        <is>
          <t>H-03</t>
        </is>
      </c>
      <c r="B142" s="11" t="inlineStr">
        <is>
          <t>H</t>
        </is>
      </c>
      <c r="C142" s="12" t="inlineStr">
        <is>
          <t>Approve it</t>
        </is>
      </c>
      <c r="D142" s="13" t="n"/>
    </row>
    <row r="143">
      <c r="A143" s="10" t="inlineStr">
        <is>
          <t>H-04</t>
        </is>
      </c>
      <c r="B143" s="11" t="inlineStr">
        <is>
          <t>H</t>
        </is>
      </c>
      <c r="C143" s="12" t="inlineStr">
        <is>
          <t>Reject a different request</t>
        </is>
      </c>
      <c r="D143" s="13" t="n"/>
    </row>
    <row r="144">
      <c r="A144" s="10" t="inlineStr">
        <is>
          <t>H-05</t>
        </is>
      </c>
      <c r="B144" s="11" t="inlineStr">
        <is>
          <t>H</t>
        </is>
      </c>
      <c r="C144" s="12" t="inlineStr">
        <is>
          <t>Check for voting reminder emails to non-voters at 3 days and 1 day before the deadline</t>
        </is>
      </c>
      <c r="D144" s="13" t="n"/>
    </row>
    <row r="145">
      <c r="A145" s="10" t="inlineStr">
        <is>
          <t>H-06</t>
        </is>
      </c>
      <c r="B145" s="11" t="inlineStr">
        <is>
          <t>H</t>
        </is>
      </c>
      <c r="C145" s="12" t="inlineStr">
        <is>
          <t>Assign an event owner to an approved event</t>
        </is>
      </c>
      <c r="D145" s="13" t="n"/>
    </row>
    <row r="146">
      <c r="A146" s="10" t="inlineStr">
        <is>
          <t>H-07</t>
        </is>
      </c>
      <c r="B146" s="11" t="inlineStr">
        <is>
          <t>H</t>
        </is>
      </c>
      <c r="C146" s="12" t="inlineStr">
        <is>
          <t>Walk the event-owner checklist: contact, hotel link, medals ordered → tracking, insurance cert, onsite rep, pay host</t>
        </is>
      </c>
      <c r="D146" s="13" t="n"/>
    </row>
    <row r="147">
      <c r="A147" s="10" t="inlineStr">
        <is>
          <t>H-08</t>
        </is>
      </c>
      <c r="B147" s="11" t="inlineStr">
        <is>
          <t>H</t>
        </is>
      </c>
      <c r="C147" s="12" t="inlineStr">
        <is>
          <t>Let a checklist item go overdue</t>
        </is>
      </c>
      <c r="D147" s="13" t="n"/>
    </row>
    <row r="148">
      <c r="A148" s="10" t="inlineStr">
        <is>
          <t>H-09</t>
        </is>
      </c>
      <c r="B148" s="11" t="inlineStr">
        <is>
          <t>H</t>
        </is>
      </c>
      <c r="C148" s="12" t="inlineStr">
        <is>
          <t>Event wizard: create an event using every field — venue, street address, country, hotel link, age-calc datetime, late-reg window + fee, director + cc, per-event confirmation email, caps, registration mode, scoring config</t>
        </is>
      </c>
      <c r="D148" s="13" t="n"/>
    </row>
    <row r="149">
      <c r="A149" s="10" t="inlineStr">
        <is>
          <t>H-10</t>
        </is>
      </c>
      <c r="B149" s="11" t="inlineStr">
        <is>
          <t>H</t>
        </is>
      </c>
      <c r="C149" s="12" t="inlineStr">
        <is>
          <t>Try to upload a schedule attachment (pdf/jpg/png) (spec §A)</t>
        </is>
      </c>
      <c r="D149" s="13" t="n"/>
    </row>
    <row r="150">
      <c r="A150" s="10" t="inlineStr">
        <is>
          <t>H-11</t>
        </is>
      </c>
      <c r="B150" s="11" t="inlineStr">
        <is>
          <t>H</t>
        </is>
      </c>
      <c r="C150" s="12" t="inlineStr">
        <is>
          <t>Open the Event Host page as the host club manager</t>
        </is>
      </c>
      <c r="D150" s="13" t="n"/>
    </row>
    <row r="151">
      <c r="A151" s="10" t="inlineStr">
        <is>
          <t>H-12</t>
        </is>
      </c>
      <c r="B151" s="11" t="inlineStr">
        <is>
          <t>H</t>
        </is>
      </c>
      <c r="C151" s="12" t="inlineStr">
        <is>
          <t>Host page payment status with real paid registrations</t>
        </is>
      </c>
      <c r="D151" s="13" t="n"/>
    </row>
    <row r="152">
      <c r="A152" s="10" t="inlineStr">
        <is>
          <t>H-13</t>
        </is>
      </c>
      <c r="B152" s="11" t="inlineStr">
        <is>
          <t>H</t>
        </is>
      </c>
      <c r="C152" s="12" t="inlineStr">
        <is>
          <t>Host page registration summary</t>
        </is>
      </c>
      <c r="D152" s="13" t="n"/>
    </row>
    <row r="153">
      <c r="A153" s="10" t="inlineStr">
        <is>
          <t>H-14</t>
        </is>
      </c>
      <c r="B153" s="11" t="inlineStr">
        <is>
          <t>H</t>
        </is>
      </c>
      <c r="C153" s="12" t="inlineStr">
        <is>
          <t>Host page Excel download — open it in Excel</t>
        </is>
      </c>
      <c r="D153" s="13" t="n"/>
    </row>
    <row r="154">
      <c r="A154" s="10" t="inlineStr">
        <is>
          <t>H-15</t>
        </is>
      </c>
      <c r="B154" s="11" t="inlineStr">
        <is>
          <t>H</t>
        </is>
      </c>
      <c r="C154" s="12" t="inlineStr">
        <is>
          <t>Event admin grant: host adds another account's email</t>
        </is>
      </c>
      <c r="D154" s="13" t="n"/>
    </row>
    <row r="155">
      <c r="A155" s="10" t="inlineStr">
        <is>
          <t>H-16</t>
        </is>
      </c>
      <c r="B155" s="11" t="inlineStr">
        <is>
          <t>H</t>
        </is>
      </c>
      <c r="C155" s="12" t="inlineStr">
        <is>
          <t>Sign in as that granted account</t>
        </is>
      </c>
      <c r="D155" s="13" t="n"/>
    </row>
    <row r="156">
      <c r="A156" s="10" t="inlineStr">
        <is>
          <t>H-17</t>
        </is>
      </c>
      <c r="B156" s="11" t="inlineStr">
        <is>
          <t>H</t>
        </is>
      </c>
      <c r="C156" s="12" t="inlineStr">
        <is>
          <t>Post-close host edits: after registration closes, edit sessions/schedule, scoring, add/remove athletes and levels/apparatus</t>
        </is>
      </c>
      <c r="D156" s="13" t="n"/>
    </row>
    <row r="157">
      <c r="A157" s="10" t="inlineStr">
        <is>
          <t>H-18</t>
        </is>
      </c>
      <c r="B157" s="11" t="inlineStr">
        <is>
          <t>H</t>
        </is>
      </c>
      <c r="C157" s="12" t="inlineStr">
        <is>
          <t>Event status transitions: draft → published → reg open → reg closed → complete</t>
        </is>
      </c>
      <c r="D157" s="13" t="n"/>
    </row>
    <row r="158">
      <c r="A158" s="10" t="inlineStr">
        <is>
          <t>H-19</t>
        </is>
      </c>
      <c r="B158" s="11" t="inlineStr">
        <is>
          <t>H</t>
        </is>
      </c>
      <c r="C158" s="12" t="inlineStr">
        <is>
          <t>"Publish dates and location only" (listing-only)</t>
        </is>
      </c>
      <c r="D158" s="13" t="n"/>
    </row>
    <row r="159" ht="20" customHeight="1">
      <c r="A159" s="9" t="inlineStr">
        <is>
          <t>N  -  Nationals (Julia)</t>
        </is>
      </c>
    </row>
    <row r="160">
      <c r="A160" s="10" t="inlineStr">
        <is>
          <t>N-01</t>
        </is>
      </c>
      <c r="B160" s="11" t="inlineStr">
        <is>
          <t>N</t>
        </is>
      </c>
      <c r="C160" s="12" t="inlineStr">
        <is>
          <t>Session-request survey as a club: one per WAG level, one for all MAG, one for all T&amp;T</t>
        </is>
      </c>
      <c r="D160" s="13" t="n"/>
    </row>
    <row r="161">
      <c r="A161" s="10" t="inlineStr">
        <is>
          <t>N-02</t>
        </is>
      </c>
      <c r="B161" s="11" t="inlineStr">
        <is>
          <t>N</t>
        </is>
      </c>
      <c r="C161" s="12" t="inlineStr">
        <is>
          <t>Try to check out the event cart with a survey unanswered</t>
        </is>
      </c>
      <c r="D161" s="13" t="n"/>
    </row>
    <row r="162">
      <c r="A162" s="10" t="inlineStr">
        <is>
          <t>N-03</t>
        </is>
      </c>
      <c r="B162" s="11" t="inlineStr">
        <is>
          <t>N</t>
        </is>
      </c>
      <c r="C162" s="12" t="inlineStr">
        <is>
          <t>Independent athlete variant of the survey</t>
        </is>
      </c>
      <c r="D162" s="13" t="n"/>
    </row>
    <row r="163">
      <c r="A163" s="10" t="inlineStr">
        <is>
          <t>N-04</t>
        </is>
      </c>
      <c r="B163" s="11" t="inlineStr">
        <is>
          <t>N</t>
        </is>
      </c>
      <c r="C163" s="12" t="inlineStr">
        <is>
          <t>Edit a survey answer before the change deadline</t>
        </is>
      </c>
      <c r="D163" s="13" t="n"/>
    </row>
    <row r="164">
      <c r="A164" s="10" t="inlineStr">
        <is>
          <t>N-05</t>
        </is>
      </c>
      <c r="B164" s="11" t="inlineStr">
        <is>
          <t>N</t>
        </is>
      </c>
      <c r="C164" s="12" t="inlineStr">
        <is>
          <t>Eligible teams table</t>
        </is>
      </c>
      <c r="D164" s="13" t="n"/>
    </row>
    <row r="165">
      <c r="A165" s="10" t="inlineStr">
        <is>
          <t>N-06</t>
        </is>
      </c>
      <c r="B165" s="11" t="inlineStr">
        <is>
          <t>N</t>
        </is>
      </c>
      <c r="C165" s="12" t="inlineStr">
        <is>
          <t>Placement categories against the gender / override / student-status matrix</t>
        </is>
      </c>
      <c r="D165" s="13" t="n"/>
    </row>
    <row r="166">
      <c r="A166" s="10" t="inlineStr">
        <is>
          <t>N-07</t>
        </is>
      </c>
      <c r="B166" s="11" t="inlineStr">
        <is>
          <t>N</t>
        </is>
      </c>
      <c r="C166" s="12" t="inlineStr">
        <is>
          <t>Finals lineup editor: pick 4 per apparatus, drag to order</t>
        </is>
      </c>
      <c r="D166" s="13" t="n"/>
    </row>
    <row r="167">
      <c r="A167" s="10" t="inlineStr">
        <is>
          <t>N-08</t>
        </is>
      </c>
      <c r="B167" s="11" t="inlineStr">
        <is>
          <t>N</t>
        </is>
      </c>
      <c r="C167" s="12" t="inlineStr">
        <is>
          <t>Admin sets finals_lineup_deadline_at; let it approach</t>
        </is>
      </c>
      <c r="D167" s="13" t="n"/>
    </row>
    <row r="168">
      <c r="A168" s="10" t="inlineStr">
        <is>
          <t>N-09</t>
        </is>
      </c>
      <c r="B168" s="11" t="inlineStr">
        <is>
          <t>N</t>
        </is>
      </c>
      <c r="C168" s="12" t="inlineStr">
        <is>
          <t>10pm hard lock</t>
        </is>
      </c>
      <c r="D168" s="13" t="n"/>
    </row>
    <row r="169">
      <c r="A169" s="10" t="inlineStr">
        <is>
          <t>N-10</t>
        </is>
      </c>
      <c r="B169" s="11" t="inlineStr">
        <is>
          <t>N</t>
        </is>
      </c>
      <c r="C169" s="12" t="inlineStr">
        <is>
          <t>Decathlon/omnithon summary</t>
        </is>
      </c>
      <c r="D169" s="13" t="n"/>
    </row>
    <row r="170">
      <c r="A170" s="10" t="inlineStr">
        <is>
          <t>N-11</t>
        </is>
      </c>
      <c r="B170" s="11" t="inlineStr">
        <is>
          <t>N</t>
        </is>
      </c>
      <c r="C170" s="12" t="inlineStr">
        <is>
          <t>Club coach list</t>
        </is>
      </c>
      <c r="D170" s="13" t="n"/>
    </row>
    <row r="171">
      <c r="A171" s="10" t="inlineStr">
        <is>
          <t>N-12</t>
        </is>
      </c>
      <c r="B171" s="11" t="inlineStr">
        <is>
          <t>N</t>
        </is>
      </c>
      <c r="C171" s="12" t="inlineStr">
        <is>
          <t>Banquet-ticket gap list</t>
        </is>
      </c>
      <c r="D171" s="13" t="n"/>
    </row>
    <row r="172">
      <c r="A172" s="10" t="inlineStr">
        <is>
          <t>N-13</t>
        </is>
      </c>
      <c r="B172" s="11" t="inlineStr">
        <is>
          <t>N</t>
        </is>
      </c>
      <c r="C172" s="12" t="inlineStr">
        <is>
          <t>Assigned-sessions table once sessions leave draft</t>
        </is>
      </c>
      <c r="D172" s="13" t="n"/>
    </row>
    <row r="173">
      <c r="A173" s="10" t="inlineStr">
        <is>
          <t>N-14</t>
        </is>
      </c>
      <c r="B173" s="11" t="inlineStr">
        <is>
          <t>N</t>
        </is>
      </c>
      <c r="C173" s="12" t="inlineStr">
        <is>
          <t>Check-in flow: admin marks a club ready → club admin sees the confirmation checkbox, signs their name, confirms through the "are you sure" popup</t>
        </is>
      </c>
      <c r="D173" s="13" t="n"/>
    </row>
    <row r="174">
      <c r="A174" s="10" t="inlineStr">
        <is>
          <t>N-15</t>
        </is>
      </c>
      <c r="B174" s="11" t="inlineStr">
        <is>
          <t>N</t>
        </is>
      </c>
      <c r="C174" s="12" t="inlineStr">
        <is>
          <t>Check-in page athlete count</t>
        </is>
      </c>
      <c r="D174" s="13" t="n"/>
    </row>
    <row r="175">
      <c r="A175" s="10" t="inlineStr">
        <is>
          <t>N-16</t>
        </is>
      </c>
      <c r="B175" s="11" t="inlineStr">
        <is>
          <t>N</t>
        </is>
      </c>
      <c r="C175" s="12" t="inlineStr">
        <is>
          <t>Admin views the check-in page as another club / an independent athlete</t>
        </is>
      </c>
      <c r="D175" s="13" t="n"/>
    </row>
    <row r="176">
      <c r="A176" s="10" t="inlineStr">
        <is>
          <t>N-17</t>
        </is>
      </c>
      <c r="B176" s="11" t="inlineStr">
        <is>
          <t>N</t>
        </is>
      </c>
      <c r="C176" s="12" t="inlineStr">
        <is>
          <t>Nationals scoring: prelim vs finals sessions, qualification, awards</t>
        </is>
      </c>
      <c r="D176" s="13" t="n"/>
    </row>
    <row r="177" ht="20" customHeight="1">
      <c r="A177" s="9" t="inlineStr">
        <is>
          <t>R  -  Refunds</t>
        </is>
      </c>
    </row>
    <row r="178">
      <c r="A178" s="10" t="inlineStr">
        <is>
          <t>R-01</t>
        </is>
      </c>
      <c r="B178" s="11" t="inlineStr">
        <is>
          <t>R</t>
        </is>
      </c>
      <c r="C178" s="12" t="inlineStr">
        <is>
          <t>Request a refund on a non-UCG-hosted event</t>
        </is>
      </c>
      <c r="D178" s="13" t="n"/>
    </row>
    <row r="179">
      <c r="A179" s="10" t="inlineStr">
        <is>
          <t>R-02</t>
        </is>
      </c>
      <c r="B179" s="11" t="inlineStr">
        <is>
          <t>R</t>
        </is>
      </c>
      <c r="C179" s="12" t="inlineStr">
        <is>
          <t>Request one on a UCG-hosted event, before lastDateToEdit</t>
        </is>
      </c>
      <c r="D179" s="13" t="n"/>
    </row>
    <row r="180">
      <c r="A180" s="10" t="inlineStr">
        <is>
          <t>R-03</t>
        </is>
      </c>
      <c r="B180" s="11" t="inlineStr">
        <is>
          <t>R</t>
        </is>
      </c>
      <c r="C180" s="12" t="inlineStr">
        <is>
          <t>Approve it as the refund manager</t>
        </is>
      </c>
      <c r="D180" s="13" t="n"/>
    </row>
    <row r="181">
      <c r="A181" s="10" t="inlineStr">
        <is>
          <t>R-04</t>
        </is>
      </c>
      <c r="B181" s="11" t="inlineStr">
        <is>
          <t>R</t>
        </is>
      </c>
      <c r="C181" s="12" t="inlineStr">
        <is>
          <t>Verify the refund in the Stripe Dashboard</t>
        </is>
      </c>
      <c r="D181" s="13" t="n"/>
    </row>
    <row r="182">
      <c r="A182" s="10" t="inlineStr">
        <is>
          <t>R-05</t>
        </is>
      </c>
      <c r="B182" s="11" t="inlineStr">
        <is>
          <t>R</t>
        </is>
      </c>
      <c r="C182" s="12" t="inlineStr">
        <is>
          <t>Request another after lastDateToEdit, and approve</t>
        </is>
      </c>
      <c r="D182" s="13" t="n"/>
    </row>
    <row r="183">
      <c r="A183" s="10" t="inlineStr">
        <is>
          <t>R-06</t>
        </is>
      </c>
      <c r="B183" s="11" t="inlineStr">
        <is>
          <t>R</t>
        </is>
      </c>
      <c r="C183" s="12" t="inlineStr">
        <is>
          <t>Look at the athlete after an after-deadline refund</t>
        </is>
      </c>
      <c r="D183" s="13" t="n"/>
    </row>
    <row r="184">
      <c r="A184" s="10" t="inlineStr">
        <is>
          <t>R-07</t>
        </is>
      </c>
      <c r="B184" s="11" t="inlineStr">
        <is>
          <t>R</t>
        </is>
      </c>
      <c r="C184" s="12" t="inlineStr">
        <is>
          <t>Reject a request</t>
        </is>
      </c>
      <c r="D184" s="13" t="n"/>
    </row>
    <row r="185">
      <c r="A185" s="10" t="inlineStr">
        <is>
          <t>R-08</t>
        </is>
      </c>
      <c r="B185" s="11" t="inlineStr">
        <is>
          <t>R</t>
        </is>
      </c>
      <c r="C185" s="12" t="inlineStr">
        <is>
          <t>Refund a single banquet ticket</t>
        </is>
      </c>
      <c r="D185" s="13" t="n"/>
    </row>
    <row r="186">
      <c r="A186" s="10" t="inlineStr">
        <is>
          <t>R-09</t>
        </is>
      </c>
      <c r="B186" s="11" t="inlineStr">
        <is>
          <t>R</t>
        </is>
      </c>
      <c r="C186" s="12" t="inlineStr">
        <is>
          <t>Move a banquet ticket to another athlete / mark it EXTRA</t>
        </is>
      </c>
      <c r="D186" s="13" t="n"/>
    </row>
    <row r="187">
      <c r="A187" s="10" t="inlineStr">
        <is>
          <t>R-10</t>
        </is>
      </c>
      <c r="B187" s="11" t="inlineStr">
        <is>
          <t>R</t>
        </is>
      </c>
      <c r="C187" s="12" t="inlineStr">
        <is>
          <t>Refund one add-on out of a multi-item order</t>
        </is>
      </c>
      <c r="D187" s="13" t="n"/>
    </row>
    <row r="188">
      <c r="A188" s="10" t="inlineStr">
        <is>
          <t>R-11</t>
        </is>
      </c>
      <c r="B188" s="11" t="inlineStr">
        <is>
          <t>R</t>
        </is>
      </c>
      <c r="C188" s="12" t="inlineStr">
        <is>
          <t>Refund a club-paid registration</t>
        </is>
      </c>
      <c r="D188" s="13" t="n"/>
    </row>
    <row r="189">
      <c r="A189" s="10" t="inlineStr">
        <is>
          <t>R-12</t>
        </is>
      </c>
      <c r="B189" s="11" t="inlineStr">
        <is>
          <t>R</t>
        </is>
      </c>
      <c r="C189" s="12" t="inlineStr">
        <is>
          <t>Refund an order that a coupon covered 100%</t>
        </is>
      </c>
      <c r="D189" s="13" t="n"/>
    </row>
    <row r="190">
      <c r="A190" s="10" t="inlineStr">
        <is>
          <t>R-13</t>
        </is>
      </c>
      <c r="B190" s="11" t="inlineStr">
        <is>
          <t>R</t>
        </is>
      </c>
      <c r="C190" s="12" t="inlineStr">
        <is>
          <t>Request more than remains refundable</t>
        </is>
      </c>
      <c r="D190" s="13" t="n"/>
    </row>
    <row r="191">
      <c r="A191" s="10" t="inlineStr">
        <is>
          <t>R-14</t>
        </is>
      </c>
      <c r="B191" s="11" t="inlineStr">
        <is>
          <t>R</t>
        </is>
      </c>
      <c r="C191" s="12" t="inlineStr">
        <is>
          <t>Check #/admin/finance after all refunds</t>
        </is>
      </c>
      <c r="D191" s="13" t="n"/>
    </row>
    <row r="192">
      <c r="A192" s="10" t="inlineStr">
        <is>
          <t>R-15</t>
        </is>
      </c>
      <c r="B192" s="11" t="inlineStr">
        <is>
          <t>R</t>
        </is>
      </c>
      <c r="C192" s="12" t="inlineStr">
        <is>
          <t>NEW (2026-08-24): Withdraw from a UCG-hosted event where your registration cost $0 (100% promo), before lastDateToEdit — the Withdraw button replaces the refund option on My Registrations</t>
        </is>
      </c>
      <c r="D192" s="13" t="n"/>
    </row>
    <row r="193">
      <c r="A193" s="10" t="inlineStr">
        <is>
          <t>R-16</t>
        </is>
      </c>
      <c r="B193" s="11" t="inlineStr">
        <is>
          <t>R</t>
        </is>
      </c>
      <c r="C193" s="12" t="inlineStr">
        <is>
          <t>NEW: Withdraw after lastDateToEdit (any withdrawable registration)</t>
        </is>
      </c>
      <c r="D193" s="13" t="n"/>
    </row>
    <row r="194">
      <c r="A194" s="10" t="inlineStr">
        <is>
          <t>R-17</t>
        </is>
      </c>
      <c r="B194" s="11" t="inlineStr">
        <is>
          <t>R</t>
        </is>
      </c>
      <c r="C194" s="12" t="inlineStr">
        <is>
          <t>NEW: Withdraw from a NON-UCG event (refunds are handled off-platform by the host club)</t>
        </is>
      </c>
      <c r="D194" s="13" t="n"/>
    </row>
    <row r="195">
      <c r="A195" s="10" t="inlineStr">
        <is>
          <t>R-18</t>
        </is>
      </c>
      <c r="B195" s="11" t="inlineStr">
        <is>
          <t>R</t>
        </is>
      </c>
      <c r="C195" s="12" t="inlineStr">
        <is>
          <t>NEW: Check the refund-vs-withdraw button logic across your registrations</t>
        </is>
      </c>
      <c r="D195" s="13" t="n"/>
    </row>
    <row r="196" ht="20" customHeight="1">
      <c r="A196" s="9" t="inlineStr">
        <is>
          <t>F  -  Finance &amp; admin (Nate + Julia as finance_admin)</t>
        </is>
      </c>
    </row>
    <row r="197">
      <c r="A197" s="10" t="inlineStr">
        <is>
          <t>F-01</t>
        </is>
      </c>
      <c r="B197" s="11" t="inlineStr">
        <is>
          <t>F</t>
        </is>
      </c>
      <c r="C197" s="12" t="inlineStr">
        <is>
          <t>Julia opens #/admin/finance as finance_admin, not admin</t>
        </is>
      </c>
      <c r="D197" s="13" t="n"/>
    </row>
    <row r="198">
      <c r="A198" s="10" t="inlineStr">
        <is>
          <t>F-02</t>
        </is>
      </c>
      <c r="B198" s="11" t="inlineStr">
        <is>
          <t>F</t>
        </is>
      </c>
      <c r="C198" s="12" t="inlineStr">
        <is>
          <t>Summary tab: one line per revenue type with its accounting code</t>
        </is>
      </c>
      <c r="D198" s="13" t="n"/>
    </row>
    <row r="199">
      <c r="A199" s="10" t="inlineStr">
        <is>
          <t>F-03</t>
        </is>
      </c>
      <c r="B199" s="11" t="inlineStr">
        <is>
          <t>F</t>
        </is>
      </c>
      <c r="C199" s="12" t="inlineStr">
        <is>
          <t>Check the arithmetic by hand against the Stripe Dashboard for one day</t>
        </is>
      </c>
      <c r="D199" s="13" t="n"/>
    </row>
    <row r="200">
      <c r="A200" s="10" t="inlineStr">
        <is>
          <t>F-04</t>
        </is>
      </c>
      <c r="B200" s="11" t="inlineStr">
        <is>
          <t>F</t>
        </is>
      </c>
      <c r="C200" s="12" t="inlineStr">
        <is>
          <t>Date-range filter, including the smart defaults (reg-open → event+1wk per event; previous month for the aggregate)</t>
        </is>
      </c>
      <c r="D200" s="13" t="n"/>
    </row>
    <row r="201">
      <c r="A201" s="10" t="inlineStr">
        <is>
          <t>F-05</t>
        </is>
      </c>
      <c r="B201" s="11" t="inlineStr">
        <is>
          <t>F</t>
        </is>
      </c>
      <c r="C201" s="12" t="inlineStr">
        <is>
          <t>Per-event finance dashboard</t>
        </is>
      </c>
      <c r="D201" s="13" t="n"/>
    </row>
    <row r="202">
      <c r="A202" s="10" t="inlineStr">
        <is>
          <t>F-06</t>
        </is>
      </c>
      <c r="B202" s="11" t="inlineStr">
        <is>
          <t>F</t>
        </is>
      </c>
      <c r="C202" s="12" t="inlineStr">
        <is>
          <t>Host payout on an event: amount owed + the calculation shown</t>
        </is>
      </c>
      <c r="D202" s="13" t="n"/>
    </row>
    <row r="203">
      <c r="A203" s="10" t="inlineStr">
        <is>
          <t>F-07</t>
        </is>
      </c>
      <c r="B203" s="11" t="inlineStr">
        <is>
          <t>F</t>
        </is>
      </c>
      <c r="C203" s="12" t="inlineStr">
        <is>
          <t>Enter host payment info (date, check# / PayPal / ACH)</t>
        </is>
      </c>
      <c r="D203" s="13" t="n"/>
    </row>
    <row r="204">
      <c r="A204" s="10" t="inlineStr">
        <is>
          <t>F-08</t>
        </is>
      </c>
      <c r="B204" s="11" t="inlineStr">
        <is>
          <t>F</t>
        </is>
      </c>
      <c r="C204" s="12" t="inlineStr">
        <is>
          <t>Invoices/Transactions tab</t>
        </is>
      </c>
      <c r="D204" s="13" t="n"/>
    </row>
    <row r="205">
      <c r="A205" s="10" t="inlineStr">
        <is>
          <t>F-09</t>
        </is>
      </c>
      <c r="B205" s="11" t="inlineStr">
        <is>
          <t>F</t>
        </is>
      </c>
      <c r="C205" s="12" t="inlineStr">
        <is>
          <t>Click through from a summary line to its transactions</t>
        </is>
      </c>
      <c r="D205" s="13" t="n"/>
    </row>
    <row r="206">
      <c r="A206" s="10" t="inlineStr">
        <is>
          <t>F-10</t>
        </is>
      </c>
      <c r="B206" s="11" t="inlineStr">
        <is>
          <t>F</t>
        </is>
      </c>
      <c r="C206" s="12" t="inlineStr">
        <is>
          <t>Export both tabs; open in Excel</t>
        </is>
      </c>
      <c r="D206" s="13" t="n"/>
    </row>
    <row r="207">
      <c r="A207" s="10" t="inlineStr">
        <is>
          <t>F-11</t>
        </is>
      </c>
      <c r="B207" s="11" t="inlineStr">
        <is>
          <t>F</t>
        </is>
      </c>
      <c r="C207" s="12" t="inlineStr">
        <is>
          <t>Accounting-code management: assign codes to purchase-item types</t>
        </is>
      </c>
      <c r="D207" s="13" t="n"/>
    </row>
    <row r="208">
      <c r="A208" s="10" t="inlineStr">
        <is>
          <t>F-12</t>
        </is>
      </c>
      <c r="B208" s="11" t="inlineStr">
        <is>
          <t>F</t>
        </is>
      </c>
      <c r="C208" s="12" t="inlineStr">
        <is>
          <t>#/admin/members: search, open a profile, edit it, export a person's data, delete a person</t>
        </is>
      </c>
      <c r="D208" s="13" t="n"/>
    </row>
    <row r="209">
      <c r="A209" s="10" t="inlineStr">
        <is>
          <t>F-13</t>
        </is>
      </c>
      <c r="B209" s="11" t="inlineStr">
        <is>
          <t>F</t>
        </is>
      </c>
      <c r="C209" s="12" t="inlineStr">
        <is>
          <t>#/admin/clubs: create, edit, manage managers</t>
        </is>
      </c>
      <c r="D209" s="13" t="n"/>
    </row>
    <row r="210">
      <c r="A210" s="10" t="inlineStr">
        <is>
          <t>F-14</t>
        </is>
      </c>
      <c r="B210" s="11" t="inlineStr">
        <is>
          <t>F</t>
        </is>
      </c>
      <c r="C210" s="12" t="inlineStr">
        <is>
          <t>#/admin/league: seasons, levels, regions, promos, waivers, user roles</t>
        </is>
      </c>
      <c r="D210" s="13" t="n"/>
    </row>
    <row r="211">
      <c r="A211" s="10" t="inlineStr">
        <is>
          <t>F-15</t>
        </is>
      </c>
      <c r="B211" s="11" t="inlineStr">
        <is>
          <t>F</t>
        </is>
      </c>
      <c r="C211" s="12" t="inlineStr">
        <is>
          <t>Grant and then revoke a role; have that person refresh</t>
        </is>
      </c>
      <c r="D211" s="13" t="n"/>
    </row>
    <row r="212">
      <c r="A212" s="10" t="inlineStr">
        <is>
          <t>F-16</t>
        </is>
      </c>
      <c r="B212" s="11" t="inlineStr">
        <is>
          <t>F</t>
        </is>
      </c>
      <c r="C212" s="12" t="inlineStr">
        <is>
          <t>#/admin/errors</t>
        </is>
      </c>
      <c r="D212" s="13" t="n"/>
    </row>
    <row r="213">
      <c r="A213" s="10" t="inlineStr">
        <is>
          <t>F-17</t>
        </is>
      </c>
      <c r="B213" s="11" t="inlineStr">
        <is>
          <t>F</t>
        </is>
      </c>
      <c r="C213" s="12" t="inlineStr">
        <is>
          <t>Payments reconciliation tool</t>
        </is>
      </c>
      <c r="D213" s="13" t="n"/>
    </row>
    <row r="214">
      <c r="A214" s="10" t="inlineStr">
        <is>
          <t>F-18</t>
        </is>
      </c>
      <c r="B214" s="11" t="inlineStr">
        <is>
          <t>F</t>
        </is>
      </c>
      <c r="C214" s="12" t="inlineStr">
        <is>
          <t>Manager-access request → review flow</t>
        </is>
      </c>
      <c r="D214" s="13" t="n"/>
    </row>
    <row r="215" ht="20" customHeight="1">
      <c r="A215" s="9" t="inlineStr">
        <is>
          <t>J  -  Judge &amp; meet day (2 devices required)</t>
        </is>
      </c>
    </row>
    <row r="216">
      <c r="A216" s="10" t="inlineStr">
        <is>
          <t>J-01</t>
        </is>
      </c>
      <c r="B216" s="11" t="inlineStr">
        <is>
          <t>J</t>
        </is>
      </c>
      <c r="C216" s="12" t="inlineStr">
        <is>
          <t>Admin/host: generate a judge access code for a live event</t>
        </is>
      </c>
      <c r="D216" s="13" t="n"/>
    </row>
    <row r="217">
      <c r="A217" s="10" t="inlineStr">
        <is>
          <t>J-02</t>
        </is>
      </c>
      <c r="B217" s="11" t="inlineStr">
        <is>
          <t>J</t>
        </is>
      </c>
      <c r="C217" s="12" t="inlineStr">
        <is>
          <t>On device 2, signed out, scan the QR with the real camera</t>
        </is>
      </c>
      <c r="D217" s="13" t="n"/>
    </row>
    <row r="218">
      <c r="A218" s="10" t="inlineStr">
        <is>
          <t>J-03</t>
        </is>
      </c>
      <c r="B218" s="11" t="inlineStr">
        <is>
          <t>J</t>
        </is>
      </c>
      <c r="C218" s="12" t="inlineStr">
        <is>
          <t>On device 2, sign out / clear, then unlock with the 6-digit code</t>
        </is>
      </c>
      <c r="D218" s="13" t="n"/>
    </row>
    <row r="219">
      <c r="A219" s="10" t="inlineStr">
        <is>
          <t>J-04</t>
        </is>
      </c>
      <c r="B219" s="11" t="inlineStr">
        <is>
          <t>J</t>
        </is>
      </c>
      <c r="C219" s="12" t="inlineStr">
        <is>
          <t>Enter a wrong 6-digit code</t>
        </is>
      </c>
      <c r="D219" s="13" t="n"/>
    </row>
    <row r="220">
      <c r="A220" s="10" t="inlineStr">
        <is>
          <t>J-05</t>
        </is>
      </c>
      <c r="B220" s="11" t="inlineStr">
        <is>
          <t>J</t>
        </is>
      </c>
      <c r="C220" s="12" t="inlineStr">
        <is>
          <t>After being rate-limited, unlock with the URL/QR token instead</t>
        </is>
      </c>
      <c r="D220" s="13" t="n"/>
    </row>
    <row r="221">
      <c r="A221" s="10" t="inlineStr">
        <is>
          <t>J-06</t>
        </is>
      </c>
      <c r="B221" s="11" t="inlineStr">
        <is>
          <t>J</t>
        </is>
      </c>
      <c r="C221" s="12" t="inlineStr">
        <is>
          <t>After a successful unlock, try a few bad codes again</t>
        </is>
      </c>
      <c r="D221" s="13" t="n"/>
    </row>
    <row r="222">
      <c r="A222" s="10" t="inlineStr">
        <is>
          <t>J-07</t>
        </is>
      </c>
      <c r="B222" s="11" t="inlineStr">
        <is>
          <t>J</t>
        </is>
      </c>
      <c r="C222" s="12" t="inlineStr">
        <is>
          <t>Enter a real score from the anonymous device</t>
        </is>
      </c>
      <c r="D222" s="13" t="n"/>
    </row>
    <row r="223">
      <c r="A223" s="10" t="inlineStr">
        <is>
          <t>J-08</t>
        </is>
      </c>
      <c r="B223" s="11" t="inlineStr">
        <is>
          <t>J</t>
        </is>
      </c>
      <c r="C223" s="12" t="inlineStr">
        <is>
          <t>Watch that score appear on device 1 without refreshing</t>
        </is>
      </c>
      <c r="D223" s="13" t="n"/>
    </row>
    <row r="224">
      <c r="A224" s="10" t="inlineStr">
        <is>
          <t>J-09</t>
        </is>
      </c>
      <c r="B224" s="11" t="inlineStr">
        <is>
          <t>J</t>
        </is>
      </c>
      <c r="C224" s="12" t="inlineStr">
        <is>
          <t>Use the calculator entry mode</t>
        </is>
      </c>
      <c r="D224" s="13" t="n"/>
    </row>
    <row r="225">
      <c r="A225" s="10" t="inlineStr">
        <is>
          <t>J-10</t>
        </is>
      </c>
      <c r="B225" s="11" t="inlineStr">
        <is>
          <t>J</t>
        </is>
      </c>
      <c r="C225" s="12" t="inlineStr">
        <is>
          <t>Use the simple entry mode</t>
        </is>
      </c>
      <c r="D225" s="13" t="n"/>
    </row>
    <row r="226">
      <c r="A226" s="10" t="inlineStr">
        <is>
          <t>J-11</t>
        </is>
      </c>
      <c r="B226" s="11" t="inlineStr">
        <is>
          <t>J</t>
        </is>
      </c>
      <c r="C226" s="12" t="inlineStr">
        <is>
          <t>Event configured for a 2-judge panel</t>
        </is>
      </c>
      <c r="D226" s="13" t="n"/>
    </row>
    <row r="227">
      <c r="A227" s="10" t="inlineStr">
        <is>
          <t>J-12</t>
        </is>
      </c>
      <c r="B227" s="11" t="inlineStr">
        <is>
          <t>J</t>
        </is>
      </c>
      <c r="C227" s="12" t="inlineStr">
        <is>
          <t>Enter scores for each discipline you support (MAG, WAG, T&amp;T, and the specialty calculators)</t>
        </is>
      </c>
      <c r="D227" s="13" t="n"/>
    </row>
    <row r="228">
      <c r="A228" s="10" t="inlineStr">
        <is>
          <t>J-13</t>
        </is>
      </c>
      <c r="B228" s="11" t="inlineStr">
        <is>
          <t>J</t>
        </is>
      </c>
      <c r="C228" s="12" t="inlineStr">
        <is>
          <t>Edit a posted score</t>
        </is>
      </c>
      <c r="D228" s="13" t="n"/>
    </row>
    <row r="229">
      <c r="A229" s="10" t="inlineStr">
        <is>
          <t>J-14</t>
        </is>
      </c>
      <c r="B229" s="11" t="inlineStr">
        <is>
          <t>J</t>
        </is>
      </c>
      <c r="C229" s="12" t="inlineStr">
        <is>
          <t>Open a score detail page</t>
        </is>
      </c>
      <c r="D229" s="13" t="n"/>
    </row>
    <row r="230">
      <c r="A230" s="10" t="inlineStr">
        <is>
          <t>J-15</t>
        </is>
      </c>
      <c r="B230" s="11" t="inlineStr">
        <is>
          <t>J</t>
        </is>
      </c>
      <c r="C230" s="12" t="inlineStr">
        <is>
          <t>Try score entry on a device with no unlock and no privileged account</t>
        </is>
      </c>
      <c r="D230" s="13" t="n"/>
    </row>
    <row r="231">
      <c r="A231" s="10" t="inlineStr">
        <is>
          <t>J-16</t>
        </is>
      </c>
      <c r="B231" s="11" t="inlineStr">
        <is>
          <t>J</t>
        </is>
      </c>
      <c r="C231" s="12" t="inlineStr">
        <is>
          <t>Judge on a phone in both portrait and landscape, one-handed, on venue-grade wifi — every control reachable in portrait without sideways scrolling (Nate's Z-06 finding)</t>
        </is>
      </c>
      <c r="D231" s="13" t="n"/>
    </row>
    <row r="232">
      <c r="A232" s="10" t="inlineStr">
        <is>
          <t>J-17</t>
        </is>
      </c>
      <c r="B232" s="11" t="inlineStr">
        <is>
          <t>J</t>
        </is>
      </c>
      <c r="C232" s="12" t="inlineStr">
        <is>
          <t>Turn wifi off mid-entry, then back on</t>
        </is>
      </c>
      <c r="D232" s="13" t="n"/>
    </row>
    <row r="233" ht="20" customHeight="1">
      <c r="A233" s="9" t="inlineStr">
        <is>
          <t>X  -  Public &amp; anonymous surfaces</t>
        </is>
      </c>
    </row>
    <row r="234">
      <c r="A234" s="10" t="inlineStr">
        <is>
          <t>X-01</t>
        </is>
      </c>
      <c r="B234" s="11" t="inlineStr">
        <is>
          <t>X</t>
        </is>
      </c>
      <c r="C234" s="12" t="inlineStr">
        <is>
          <t>Public Results index and an event's results</t>
        </is>
      </c>
      <c r="D234" s="13" t="n"/>
    </row>
    <row r="235">
      <c r="A235" s="10" t="inlineStr">
        <is>
          <t>X-02</t>
        </is>
      </c>
      <c r="B235" s="11" t="inlineStr">
        <is>
          <t>X</t>
        </is>
      </c>
      <c r="C235" s="12" t="inlineStr">
        <is>
          <t>Results for an event with scores across multiple sessions</t>
        </is>
      </c>
      <c r="D235" s="13" t="n"/>
    </row>
    <row r="236">
      <c r="A236" s="10" t="inlineStr">
        <is>
          <t>X-03</t>
        </is>
      </c>
      <c r="B236" s="11" t="inlineStr">
        <is>
          <t>X</t>
        </is>
      </c>
      <c r="C236" s="12" t="inlineStr">
        <is>
          <t>Results for an event where some registrations have no session assigned</t>
        </is>
      </c>
      <c r="D236" s="13" t="n"/>
    </row>
    <row r="237">
      <c r="A237" s="10" t="inlineStr">
        <is>
          <t>X-04</t>
        </is>
      </c>
      <c r="B237" s="11" t="inlineStr">
        <is>
          <t>X</t>
        </is>
      </c>
      <c r="C237" s="12" t="inlineStr">
        <is>
          <t>Public Events list and an event detail page</t>
        </is>
      </c>
      <c r="D237" s="13" t="n"/>
    </row>
    <row r="238">
      <c r="A238" s="10" t="inlineStr">
        <is>
          <t>X-05</t>
        </is>
      </c>
      <c r="B238" s="11" t="inlineStr">
        <is>
          <t>X</t>
        </is>
      </c>
      <c r="C238" s="12" t="inlineStr">
        <is>
          <t>Home page while signed out</t>
        </is>
      </c>
      <c r="D238" s="13" t="n"/>
    </row>
    <row r="239">
      <c r="A239" s="10" t="inlineStr">
        <is>
          <t>X-06</t>
        </is>
      </c>
      <c r="B239" s="11" t="inlineStr">
        <is>
          <t>X</t>
        </is>
      </c>
      <c r="C239" s="12" t="inlineStr">
        <is>
          <t>Try #/me, #/cart, #/admin/members while signed out</t>
        </is>
      </c>
      <c r="D239" s="13" t="n"/>
    </row>
    <row r="240">
      <c r="A240" s="10" t="inlineStr">
        <is>
          <t>X-07</t>
        </is>
      </c>
      <c r="B240" s="11" t="inlineStr">
        <is>
          <t>X</t>
        </is>
      </c>
      <c r="C240" s="12" t="inlineStr">
        <is>
          <t>Open a judge access URL you weren't given (guess a token)</t>
        </is>
      </c>
      <c r="D240" s="13" t="n"/>
    </row>
    <row r="241">
      <c r="A241" s="10" t="inlineStr">
        <is>
          <t>X-08</t>
        </is>
      </c>
      <c r="B241" s="11" t="inlineStr">
        <is>
          <t>X</t>
        </is>
      </c>
      <c r="C241" s="12" t="inlineStr">
        <is>
          <t>Share an event link to yourself via text/Slack and open it from there</t>
        </is>
      </c>
      <c r="D241" s="13" t="n"/>
    </row>
    <row r="242">
      <c r="A242" s="10" t="inlineStr">
        <is>
          <t>X-09</t>
        </is>
      </c>
      <c r="B242" s="11" t="inlineStr">
        <is>
          <t>X</t>
        </is>
      </c>
      <c r="C242" s="12" t="inlineStr">
        <is>
          <t>Public pages on a phone</t>
        </is>
      </c>
      <c r="D242" s="13" t="n"/>
    </row>
    <row r="243" ht="20" customHeight="1">
      <c r="A243" s="9" t="inlineStr">
        <is>
          <t>D  -  Devices, responsive &amp; PWA</t>
        </is>
      </c>
    </row>
    <row r="244">
      <c r="A244" s="10" t="inlineStr">
        <is>
          <t>D-01</t>
        </is>
      </c>
      <c r="B244" s="11" t="inlineStr">
        <is>
          <t>D</t>
        </is>
      </c>
      <c r="C244" s="12" t="inlineStr">
        <is>
          <t>Full pass on an iPhone (Safari) — sign in, register, cart, profile</t>
        </is>
      </c>
      <c r="D244" s="13" t="n"/>
    </row>
    <row r="245">
      <c r="A245" s="10" t="inlineStr">
        <is>
          <t>D-02</t>
        </is>
      </c>
      <c r="B245" s="11" t="inlineStr">
        <is>
          <t>D</t>
        </is>
      </c>
      <c r="C245" s="12" t="inlineStr">
        <is>
          <t>Full pass on an Android (Chrome)</t>
        </is>
      </c>
      <c r="D245" s="13" t="n"/>
    </row>
    <row r="246">
      <c r="A246" s="10" t="inlineStr">
        <is>
          <t>D-03</t>
        </is>
      </c>
      <c r="B246" s="11" t="inlineStr">
        <is>
          <t>D</t>
        </is>
      </c>
      <c r="C246" s="12" t="inlineStr">
        <is>
          <t>Tablet, both orientations</t>
        </is>
      </c>
      <c r="D246" s="13" t="n"/>
    </row>
    <row r="247">
      <c r="A247" s="10" t="inlineStr">
        <is>
          <t>D-04</t>
        </is>
      </c>
      <c r="B247" s="11" t="inlineStr">
        <is>
          <t>D</t>
        </is>
      </c>
      <c r="C247" s="12" t="inlineStr">
        <is>
          <t>The mobile nav drawer: open, navigate, close</t>
        </is>
      </c>
      <c r="D247" s="13" t="n"/>
    </row>
    <row r="248">
      <c r="A248" s="10" t="inlineStr">
        <is>
          <t>D-05</t>
        </is>
      </c>
      <c r="B248" s="11" t="inlineStr">
        <is>
          <t>D</t>
        </is>
      </c>
      <c r="C248" s="12" t="inlineStr">
        <is>
          <t>Every modal on a phone — registration popup, refund dialog, report-a-problem</t>
        </is>
      </c>
      <c r="D248" s="13" t="n"/>
    </row>
    <row r="249">
      <c r="A249" s="10" t="inlineStr">
        <is>
          <t>D-06</t>
        </is>
      </c>
      <c r="B249" s="11" t="inlineStr">
        <is>
          <t>D</t>
        </is>
      </c>
      <c r="C249" s="12" t="inlineStr">
        <is>
          <t>Wide tables on a phone — admin members, finance transactions, host summary</t>
        </is>
      </c>
      <c r="D249" s="13" t="n"/>
    </row>
    <row r="250">
      <c r="A250" s="10" t="inlineStr">
        <is>
          <t>D-07</t>
        </is>
      </c>
      <c r="B250" s="11" t="inlineStr">
        <is>
          <t>D</t>
        </is>
      </c>
      <c r="C250" s="12" t="inlineStr">
        <is>
          <t>Install the PWA ("Add to Home Screen") on iOS and Android</t>
        </is>
      </c>
      <c r="D250" s="13" t="n"/>
    </row>
    <row r="251">
      <c r="A251" s="10" t="inlineStr">
        <is>
          <t>D-08</t>
        </is>
      </c>
      <c r="B251" s="11" t="inlineStr">
        <is>
          <t>D</t>
        </is>
      </c>
      <c r="C251" s="12" t="inlineStr">
        <is>
          <t>Use the installed PWA for a full registration flow</t>
        </is>
      </c>
      <c r="D251" s="13" t="n"/>
    </row>
    <row r="252">
      <c r="A252" s="10" t="inlineStr">
        <is>
          <t>D-09</t>
        </is>
      </c>
      <c r="B252" s="11" t="inlineStr">
        <is>
          <t>D</t>
        </is>
      </c>
      <c r="C252" s="12" t="inlineStr">
        <is>
          <t>PWA update path: with the PWA installed, wait for the next deploy, then reopen it</t>
        </is>
      </c>
      <c r="D252" s="13" t="n"/>
    </row>
    <row r="253">
      <c r="A253" s="10" t="inlineStr">
        <is>
          <t>D-10</t>
        </is>
      </c>
      <c r="B253" s="11" t="inlineStr">
        <is>
          <t>D</t>
        </is>
      </c>
      <c r="C253" s="12" t="inlineStr">
        <is>
          <t>Dark mode (OS-level) on a few pages</t>
        </is>
      </c>
      <c r="D253" s="13" t="n"/>
    </row>
    <row r="254">
      <c r="A254" s="10" t="inlineStr">
        <is>
          <t>D-11</t>
        </is>
      </c>
      <c r="B254" s="11" t="inlineStr">
        <is>
          <t>D</t>
        </is>
      </c>
      <c r="C254" s="12" t="inlineStr">
        <is>
          <t>Browser zoom to 200% on desktop</t>
        </is>
      </c>
      <c r="D254" s="13" t="n"/>
    </row>
    <row r="255">
      <c r="A255" s="10" t="inlineStr">
        <is>
          <t>D-12</t>
        </is>
      </c>
      <c r="B255" s="11" t="inlineStr">
        <is>
          <t>D</t>
        </is>
      </c>
      <c r="C255" s="12" t="inlineStr">
        <is>
          <t>Rotate the phone mid-form</t>
        </is>
      </c>
      <c r="D255" s="13" t="n"/>
    </row>
    <row r="256">
      <c r="A256" s="10" t="inlineStr">
        <is>
          <t>D-13</t>
        </is>
      </c>
      <c r="B256" s="11" t="inlineStr">
        <is>
          <t>D</t>
        </is>
      </c>
      <c r="C256" s="12" t="inlineStr">
        <is>
          <t>Firefox and Edge, one flow each</t>
        </is>
      </c>
      <c r="D256" s="13" t="n"/>
    </row>
    <row r="257" ht="20" customHeight="1">
      <c r="A257" s="9" t="inlineStr">
        <is>
          <t>Y  -  Keyboard &amp; accessibility (Nate)</t>
        </is>
      </c>
    </row>
    <row r="258">
      <c r="A258" s="10" t="inlineStr">
        <is>
          <t>Y-01</t>
        </is>
      </c>
      <c r="B258" s="11" t="inlineStr">
        <is>
          <t>Y</t>
        </is>
      </c>
      <c r="C258" s="12" t="inlineStr">
        <is>
          <t>Unplug the mouse. Complete one full registration + checkout using only the keyboard</t>
        </is>
      </c>
      <c r="D258" s="13" t="n"/>
    </row>
    <row r="259">
      <c r="A259" s="10" t="inlineStr">
        <is>
          <t>Y-02</t>
        </is>
      </c>
      <c r="B259" s="11" t="inlineStr">
        <is>
          <t>Y</t>
        </is>
      </c>
      <c r="C259" s="12" t="inlineStr">
        <is>
          <t>Tab through a page — is the focus ring always visible?</t>
        </is>
      </c>
      <c r="D259" s="13" t="n"/>
    </row>
    <row r="260">
      <c r="A260" s="10" t="inlineStr">
        <is>
          <t>Y-03</t>
        </is>
      </c>
      <c r="B260" s="11" t="inlineStr">
        <is>
          <t>Y</t>
        </is>
      </c>
      <c r="C260" s="12" t="inlineStr">
        <is>
          <t>Press Enter and Space on buttons — especially Details/Hide toggles, the judge score stepper, Copy-link buttons</t>
        </is>
      </c>
      <c r="D260" s="13" t="n"/>
    </row>
    <row r="261">
      <c r="A261" s="10" t="inlineStr">
        <is>
          <t>Y-04</t>
        </is>
      </c>
      <c r="B261" s="11" t="inlineStr">
        <is>
          <t>Y</t>
        </is>
      </c>
      <c r="C261" s="12" t="inlineStr">
        <is>
          <t>Open a modal, then press Tab repeatedly</t>
        </is>
      </c>
      <c r="D261" s="13" t="n"/>
    </row>
    <row r="262">
      <c r="A262" s="10" t="inlineStr">
        <is>
          <t>Y-05</t>
        </is>
      </c>
      <c r="B262" s="11" t="inlineStr">
        <is>
          <t>Y</t>
        </is>
      </c>
      <c r="C262" s="12" t="inlineStr">
        <is>
          <t>Press Escape in a modal with unsaved changes</t>
        </is>
      </c>
      <c r="D262" s="13" t="n"/>
    </row>
    <row r="263">
      <c r="A263" s="10" t="inlineStr">
        <is>
          <t>Y-06</t>
        </is>
      </c>
      <c r="B263" s="11" t="inlineStr">
        <is>
          <t>Y</t>
        </is>
      </c>
      <c r="C263" s="12" t="inlineStr">
        <is>
          <t>Press Escape with two dialogs stacked</t>
        </is>
      </c>
      <c r="D263" s="13" t="n"/>
    </row>
    <row r="264">
      <c r="A264" s="10" t="inlineStr">
        <is>
          <t>Y-07</t>
        </is>
      </c>
      <c r="B264" s="11" t="inlineStr">
        <is>
          <t>Y</t>
        </is>
      </c>
      <c r="C264" s="12" t="inlineStr">
        <is>
          <t>Close a modal</t>
        </is>
      </c>
      <c r="D264" s="13" t="n"/>
    </row>
    <row r="265">
      <c r="A265" s="10" t="inlineStr">
        <is>
          <t>Y-08</t>
        </is>
      </c>
      <c r="B265" s="11" t="inlineStr">
        <is>
          <t>Y</t>
        </is>
      </c>
      <c r="C265" s="12" t="inlineStr">
        <is>
          <t>Tab order on a long form (Profile)</t>
        </is>
      </c>
      <c r="D265" s="13" t="n"/>
    </row>
    <row r="266">
      <c r="A266" s="10" t="inlineStr">
        <is>
          <t>Y-09</t>
        </is>
      </c>
      <c r="B266" s="11" t="inlineStr">
        <is>
          <t>Y</t>
        </is>
      </c>
      <c r="C266" s="12" t="inlineStr">
        <is>
          <t>Squint-test every screen for low-contrast text</t>
        </is>
      </c>
      <c r="D266" s="13" t="n"/>
    </row>
    <row r="267">
      <c r="A267" s="10" t="inlineStr">
        <is>
          <t>Y-10</t>
        </is>
      </c>
      <c r="B267" s="11" t="inlineStr">
        <is>
          <t>Y</t>
        </is>
      </c>
      <c r="C267" s="12" t="inlineStr">
        <is>
          <t>If you have VoiceOver/Narrator, skim the Profile page</t>
        </is>
      </c>
      <c r="D267" s="13" t="n"/>
    </row>
    <row r="268">
      <c r="A268" s="14" t="inlineStr">
        <is>
          <t>EXTRA  -  findings not tied to a step (use e.g. M-X-01)</t>
        </is>
      </c>
    </row>
    <row r="269">
      <c r="A269" s="13" t="n"/>
      <c r="D269" s="13" t="n"/>
    </row>
    <row r="270">
      <c r="A270" s="13" t="n"/>
      <c r="D270" s="13" t="n"/>
    </row>
    <row r="271">
      <c r="A271" s="13" t="n"/>
      <c r="D271" s="13" t="n"/>
    </row>
    <row r="272">
      <c r="A272" s="13" t="n"/>
      <c r="D272" s="13" t="n"/>
    </row>
    <row r="273">
      <c r="A273" s="13" t="n"/>
      <c r="D273" s="13" t="n"/>
    </row>
    <row r="274">
      <c r="A274" s="13" t="n"/>
      <c r="D274" s="13" t="n"/>
    </row>
    <row r="275">
      <c r="A275" s="13" t="n"/>
      <c r="D275" s="13" t="n"/>
    </row>
    <row r="276">
      <c r="A276" s="13" t="n"/>
      <c r="D276" s="13" t="n"/>
    </row>
    <row r="277">
      <c r="A277" s="13" t="n"/>
      <c r="D277" s="13" t="n"/>
    </row>
    <row r="278">
      <c r="A278" s="13" t="n"/>
      <c r="D278" s="13" t="n"/>
    </row>
    <row r="279">
      <c r="A279" s="13" t="n"/>
      <c r="D279" s="13" t="n"/>
    </row>
    <row r="280">
      <c r="A280" s="13" t="n"/>
      <c r="D280" s="13" t="n"/>
    </row>
    <row r="281">
      <c r="A281" s="13" t="n"/>
      <c r="D281" s="13" t="n"/>
    </row>
    <row r="282">
      <c r="A282" s="13" t="n"/>
      <c r="D282" s="13" t="n"/>
    </row>
    <row r="283">
      <c r="A283" s="13" t="n"/>
      <c r="D283" s="13" t="n"/>
    </row>
    <row r="284">
      <c r="A284" s="13" t="n"/>
      <c r="D284" s="13" t="n"/>
    </row>
    <row r="285">
      <c r="A285" s="13" t="n"/>
      <c r="D285" s="13" t="n"/>
    </row>
    <row r="286">
      <c r="A286" s="13" t="n"/>
      <c r="D286" s="13" t="n"/>
    </row>
    <row r="287">
      <c r="A287" s="13" t="n"/>
      <c r="D287" s="13" t="n"/>
    </row>
    <row r="288">
      <c r="A288" s="13" t="n"/>
      <c r="D288" s="13" t="n"/>
    </row>
    <row r="289">
      <c r="A289" s="13" t="n"/>
      <c r="D289" s="13" t="n"/>
    </row>
    <row r="290">
      <c r="A290" s="13" t="n"/>
      <c r="D290" s="13" t="n"/>
    </row>
    <row r="291">
      <c r="A291" s="13" t="n"/>
      <c r="D291" s="13" t="n"/>
    </row>
    <row r="292">
      <c r="A292" s="13" t="n"/>
      <c r="D292" s="13" t="n"/>
    </row>
    <row r="293">
      <c r="A293" s="13" t="n"/>
      <c r="D293" s="13" t="n"/>
    </row>
    <row r="294">
      <c r="A294" s="13" t="n"/>
      <c r="D294" s="13" t="n"/>
    </row>
    <row r="295">
      <c r="A295" s="13" t="n"/>
      <c r="D295" s="13" t="n"/>
    </row>
    <row r="296">
      <c r="A296" s="13" t="n"/>
      <c r="D296" s="13" t="n"/>
    </row>
    <row r="297">
      <c r="A297" s="13" t="n"/>
      <c r="D297" s="13" t="n"/>
    </row>
    <row r="298">
      <c r="A298" s="13" t="n"/>
      <c r="D298" s="13" t="n"/>
    </row>
    <row r="299">
      <c r="A299" s="13" t="n"/>
      <c r="D299" s="13" t="n"/>
    </row>
    <row r="300">
      <c r="A300" s="13" t="n"/>
      <c r="D300" s="13" t="n"/>
    </row>
    <row r="301">
      <c r="A301" s="13" t="n"/>
      <c r="D301" s="13" t="n"/>
    </row>
    <row r="302">
      <c r="A302" s="13" t="n"/>
      <c r="D302" s="13" t="n"/>
    </row>
    <row r="303">
      <c r="A303" s="13" t="n"/>
      <c r="D303" s="13" t="n"/>
    </row>
    <row r="304">
      <c r="A304" s="13" t="n"/>
      <c r="D304" s="13" t="n"/>
    </row>
    <row r="305">
      <c r="A305" s="13" t="n"/>
      <c r="D305" s="13" t="n"/>
    </row>
    <row r="306">
      <c r="A306" s="13" t="n"/>
      <c r="D306" s="13" t="n"/>
    </row>
    <row r="307">
      <c r="A307" s="13" t="n"/>
      <c r="D307" s="13" t="n"/>
    </row>
    <row r="308">
      <c r="A308" s="13" t="n"/>
      <c r="D308" s="13" t="n"/>
    </row>
  </sheetData>
  <autoFilter ref="A1:O308"/>
  <mergeCells count="18">
    <mergeCell ref="A196:O196"/>
    <mergeCell ref="A81:O81"/>
    <mergeCell ref="A257:O257"/>
    <mergeCell ref="A243:O243"/>
    <mergeCell ref="A105:O105"/>
    <mergeCell ref="A121:O121"/>
    <mergeCell ref="A60:O60"/>
    <mergeCell ref="A139:O139"/>
    <mergeCell ref="A177:O177"/>
    <mergeCell ref="A268:O268"/>
    <mergeCell ref="A94:O94"/>
    <mergeCell ref="A46:O46"/>
    <mergeCell ref="A233:O233"/>
    <mergeCell ref="A159:O159"/>
    <mergeCell ref="A18:O18"/>
    <mergeCell ref="A3:O3"/>
    <mergeCell ref="A215:O215"/>
    <mergeCell ref="A39:O39"/>
  </mergeCells>
  <dataValidations count="4">
    <dataValidation sqref="D2:D308" showDropDown="0" showInputMessage="0" showErrorMessage="0" allowBlank="1" type="list">
      <formula1>"PASS,FAIL,MISSING,UNCLEAR,BLOCKED,N/A"</formula1>
    </dataValidation>
    <dataValidation sqref="F2:F308" showDropDown="0" showInputMessage="0" showErrorMessage="0" allowBlank="1" type="list">
      <formula1>"S1,S2,S3,S4,Q,D"</formula1>
    </dataValidation>
    <dataValidation sqref="J2:J308" showDropDown="0" showInputMessage="0" showErrorMessage="0" allowBlank="1" type="list">
      <formula1>"Y,N,N/A"</formula1>
    </dataValidation>
    <dataValidation sqref="N2:N30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56" customWidth="1" min="3" max="3"/>
    <col width="11" customWidth="1" min="4" max="4"/>
    <col width="12" customWidth="1" min="5" max="5"/>
    <col width="10" customWidth="1" min="6" max="6"/>
    <col width="40" customWidth="1" min="7" max="7"/>
    <col width="48" customWidth="1" min="8" max="8"/>
    <col width="21" customWidth="1" min="9" max="9"/>
    <col width="17" customWidth="1" min="10" max="10"/>
    <col width="20" customWidth="1" min="11" max="11"/>
    <col width="18" customWidth="1" min="12" max="12"/>
    <col width="26" customWidth="1" min="13" max="13"/>
    <col width="15" customWidth="1" min="14" max="14"/>
    <col width="34" customWidth="1" min="15" max="15"/>
  </cols>
  <sheetData>
    <row r="1" ht="30" customHeight="1">
      <c r="A1" s="7" t="inlineStr">
        <is>
          <t>Step ID</t>
        </is>
      </c>
      <c r="B1" s="7" t="inlineStr">
        <is>
          <t>Lane</t>
        </is>
      </c>
      <c r="C1" s="7" t="inlineStr">
        <is>
          <t>Step (what to do)</t>
        </is>
      </c>
      <c r="D1" s="7" t="inlineStr">
        <is>
          <t>Result</t>
        </is>
      </c>
      <c r="E1" s="7" t="inlineStr">
        <is>
          <t>Finding ID</t>
        </is>
      </c>
      <c r="F1" s="7" t="inlineStr">
        <is>
          <t>Severity</t>
        </is>
      </c>
      <c r="G1" s="7" t="inlineStr">
        <is>
          <t>What you expected</t>
        </is>
      </c>
      <c r="H1" s="7" t="inlineStr">
        <is>
          <t>What actually happened (exact error text)</t>
        </is>
      </c>
      <c r="I1" s="7" t="inlineStr">
        <is>
          <t>Timestamp (local + tz)</t>
        </is>
      </c>
      <c r="J1" s="7" t="inlineStr">
        <is>
          <t>Hard reload fix it?</t>
        </is>
      </c>
      <c r="K1" s="7" t="inlineStr">
        <is>
          <t>Device / browser</t>
        </is>
      </c>
      <c r="L1" s="7" t="inlineStr">
        <is>
          <t>Signed in as</t>
        </is>
      </c>
      <c r="M1" s="7" t="inlineStr">
        <is>
          <t>Screenshot(s)</t>
        </is>
      </c>
      <c r="N1" s="7" t="inlineStr">
        <is>
          <t>Reported in-app?</t>
        </is>
      </c>
      <c r="O1" s="7" t="inlineStr">
        <is>
          <t>Notes</t>
        </is>
      </c>
    </row>
    <row r="2" ht="42" customHeight="1">
      <c r="A2" s="8" t="inlineStr">
        <is>
          <t>M-07</t>
        </is>
      </c>
      <c r="B2" s="8" t="inlineStr">
        <is>
          <t>M</t>
        </is>
      </c>
      <c r="C2" s="8" t="inlineStr">
        <is>
          <t>EXAMPLE ROW - delete or overwrite me</t>
        </is>
      </c>
      <c r="D2" s="8" t="inlineStr">
        <is>
          <t>FAIL</t>
        </is>
      </c>
      <c r="E2" s="8" t="inlineStr">
        <is>
          <t>M-07-01</t>
        </is>
      </c>
      <c r="F2" s="8" t="inlineStr">
        <is>
          <t>S1</t>
        </is>
      </c>
      <c r="G2" s="8" t="inlineStr">
        <is>
          <t>3-D Secure challenge appears, then the payment completes</t>
        </is>
      </c>
      <c r="H2" s="8" t="inlineStr">
        <is>
          <t>Challenge appeared, I approved it, then "Something went wrong" and the cart still had the item</t>
        </is>
      </c>
      <c r="I2" s="8" t="inlineStr">
        <is>
          <t>2026-08-19 14:32 PT</t>
        </is>
      </c>
      <c r="J2" s="8" t="inlineStr">
        <is>
          <t>N</t>
        </is>
      </c>
      <c r="K2" s="8" t="inlineStr">
        <is>
          <t>Win 11 / Chrome 141</t>
        </is>
      </c>
      <c r="L2" s="8" t="inlineStr">
        <is>
          <t>Athlete (ZZTEST-Robin)</t>
        </is>
      </c>
      <c r="M2" s="8" t="inlineStr">
        <is>
          <t>M-07-01_01_NS.png</t>
        </is>
      </c>
      <c r="N2" s="8" t="inlineStr">
        <is>
          <t>Y</t>
        </is>
      </c>
      <c r="O2" s="8" t="inlineStr">
        <is>
          <t>Reproduced twice. Stripe dashboard shows no payment attempt at all.</t>
        </is>
      </c>
    </row>
    <row r="3" ht="20" customHeight="1">
      <c r="A3" s="9" t="inlineStr">
        <is>
          <t>A  -  Accounts, auth &amp; security</t>
        </is>
      </c>
    </row>
    <row r="4">
      <c r="A4" s="10" t="inlineStr">
        <is>
          <t>A-01</t>
        </is>
      </c>
      <c r="B4" s="11" t="inlineStr">
        <is>
          <t>A</t>
        </is>
      </c>
      <c r="C4" s="12" t="inlineStr">
        <is>
          <t>Sign up a brand-new account from scratch (ZZTEST- name, an address you can read)</t>
        </is>
      </c>
      <c r="D4" s="13" t="n"/>
    </row>
    <row r="5">
      <c r="A5" s="10" t="inlineStr">
        <is>
          <t>A-02</t>
        </is>
      </c>
      <c r="B5" s="11" t="inlineStr">
        <is>
          <t>A</t>
        </is>
      </c>
      <c r="C5" s="12" t="inlineStr">
        <is>
          <t>While signed out, go directly to #/admin/league</t>
        </is>
      </c>
      <c r="D5" s="13" t="n"/>
    </row>
    <row r="6">
      <c r="A6" s="10" t="inlineStr">
        <is>
          <t>A-03</t>
        </is>
      </c>
      <c r="B6" s="11" t="inlineStr">
        <is>
          <t>A</t>
        </is>
      </c>
      <c r="C6" s="12" t="inlineStr">
        <is>
          <t>Sign in as the role-less athlete (S-05), then go to #/admin/league, #/admin/finance, #/admin/refunds</t>
        </is>
      </c>
      <c r="D6" s="13" t="n"/>
    </row>
    <row r="7">
      <c r="A7" s="10" t="inlineStr">
        <is>
          <t>A-04</t>
        </is>
      </c>
      <c r="B7" s="11" t="inlineStr">
        <is>
          <t>A</t>
        </is>
      </c>
      <c r="C7" s="12" t="inlineStr">
        <is>
          <t>Refresh the page while signed in as an admin, on an admin page</t>
        </is>
      </c>
      <c r="D7" s="13" t="n"/>
    </row>
    <row r="8">
      <c r="A8" s="10" t="inlineStr">
        <is>
          <t>A-05</t>
        </is>
      </c>
      <c r="B8" s="11" t="inlineStr">
        <is>
          <t>A</t>
        </is>
      </c>
      <c r="C8" s="12" t="inlineStr">
        <is>
          <t>Sign out, then use the browser Back button</t>
        </is>
      </c>
      <c r="D8" s="13" t="n"/>
    </row>
    <row r="9">
      <c r="A9" s="10" t="inlineStr">
        <is>
          <t>A-06</t>
        </is>
      </c>
      <c r="B9" s="11" t="inlineStr">
        <is>
          <t>A</t>
        </is>
      </c>
      <c r="C9" s="12" t="inlineStr">
        <is>
          <t>Forgot-password flow end to end</t>
        </is>
      </c>
      <c r="D9" s="13" t="n"/>
    </row>
    <row r="10">
      <c r="A10" s="10" t="inlineStr">
        <is>
          <t>A-07</t>
        </is>
      </c>
      <c r="B10" s="11" t="inlineStr">
        <is>
          <t>A</t>
        </is>
      </c>
      <c r="C10" s="12" t="inlineStr">
        <is>
          <t>Admin sends an account invite: #/admin/members → open a person who has no account → Send account invite. (NOT "+ New Person" — that only creates the profile; A-07-01 was partly this step's wording.) Recipient clicks the link</t>
        </is>
      </c>
      <c r="D10" s="13" t="n"/>
    </row>
    <row r="11">
      <c r="A11" s="10" t="inlineStr">
        <is>
          <t>A-08</t>
        </is>
      </c>
      <c r="B11" s="11" t="inlineStr">
        <is>
          <t>A</t>
        </is>
      </c>
      <c r="C11" s="12" t="inlineStr">
        <is>
          <t>Enroll TOTP on a fresh account with a real authenticator app</t>
        </is>
      </c>
      <c r="D11" s="13" t="n"/>
    </row>
    <row r="12">
      <c r="A12" s="10" t="inlineStr">
        <is>
          <t>A-09</t>
        </is>
      </c>
      <c r="B12" s="11" t="inlineStr">
        <is>
          <t>A</t>
        </is>
      </c>
      <c r="C12" s="12" t="inlineStr">
        <is>
          <t>Sign out, sign back in with TOTP</t>
        </is>
      </c>
      <c r="D12" s="13" t="n"/>
    </row>
    <row r="13">
      <c r="A13" s="10" t="inlineStr">
        <is>
          <t>A-10</t>
        </is>
      </c>
      <c r="B13" s="11" t="inlineStr">
        <is>
          <t>A</t>
        </is>
      </c>
      <c r="C13" s="12" t="inlineStr">
        <is>
          <t>Enroll a passkey on real hardware (Face ID / Touch ID / Windows Hello)</t>
        </is>
      </c>
      <c r="D13" s="13" t="n"/>
    </row>
    <row r="14">
      <c r="A14" s="10" t="inlineStr">
        <is>
          <t>A-11</t>
        </is>
      </c>
      <c r="B14" s="11" t="inlineStr">
        <is>
          <t>A</t>
        </is>
      </c>
      <c r="C14" s="12" t="inlineStr">
        <is>
          <t>Sign in as an admin without MFA enrolled</t>
        </is>
      </c>
      <c r="D14" s="13" t="n"/>
    </row>
    <row r="15">
      <c r="A15" s="10" t="inlineStr">
        <is>
          <t>A-12</t>
        </is>
      </c>
      <c r="B15" s="11" t="inlineStr">
        <is>
          <t>A</t>
        </is>
      </c>
      <c r="C15" s="12" t="inlineStr">
        <is>
          <t>Nate: exercise the admin MFA reset break-glass on the test account</t>
        </is>
      </c>
      <c r="D15" s="13" t="n"/>
    </row>
    <row r="16">
      <c r="A16" s="10" t="inlineStr">
        <is>
          <t>A-13</t>
        </is>
      </c>
      <c r="B16" s="11" t="inlineStr">
        <is>
          <t>A</t>
        </is>
      </c>
      <c r="C16" s="12" t="inlineStr">
        <is>
          <t>Try #/profile (a route that doesn't exist)</t>
        </is>
      </c>
      <c r="D16" s="13" t="n"/>
    </row>
    <row r="17">
      <c r="A17" s="10" t="inlineStr">
        <is>
          <t>A-14</t>
        </is>
      </c>
      <c r="B17" s="11" t="inlineStr">
        <is>
          <t>A</t>
        </is>
      </c>
      <c r="C17" s="12" t="inlineStr">
        <is>
          <t>Sign in on your phone and desktop at once; change your name on one</t>
        </is>
      </c>
      <c r="D17" s="13" t="n"/>
    </row>
    <row r="18" ht="20" customHeight="1">
      <c r="A18" s="9" t="inlineStr">
        <is>
          <t>M  -  Cart, pricing &amp; Stripe checkout</t>
        </is>
      </c>
    </row>
    <row r="19">
      <c r="A19" s="10" t="inlineStr">
        <is>
          <t>M-01</t>
        </is>
      </c>
      <c r="B19" s="11" t="inlineStr">
        <is>
          <t>M</t>
        </is>
      </c>
      <c r="C19" s="12" t="inlineStr">
        <is>
          <t>Add one event registration to the cart. Write down every number on the cart page: line item, subtotal, service fee, total</t>
        </is>
      </c>
      <c r="D19" s="13" t="n"/>
    </row>
    <row r="20">
      <c r="A20" s="10" t="inlineStr">
        <is>
          <t>M-02</t>
        </is>
      </c>
      <c r="B20" s="11" t="inlineStr">
        <is>
          <t>M</t>
        </is>
      </c>
      <c r="C20" s="12" t="inlineStr">
        <is>
          <t>Click through to checkout. Compare the Stripe page's numbers against M-01, to the cent</t>
        </is>
      </c>
      <c r="D20" s="13" t="n"/>
    </row>
    <row r="21">
      <c r="A21" s="10" t="inlineStr">
        <is>
          <t>M-03</t>
        </is>
      </c>
      <c r="B21" s="11" t="inlineStr">
        <is>
          <t>M</t>
        </is>
      </c>
      <c r="C21" s="12" t="inlineStr">
        <is>
          <t>Pay with 4242…. Watch what happens after the payment completes</t>
        </is>
      </c>
      <c r="D21" s="13" t="n"/>
    </row>
    <row r="22">
      <c r="A22" s="10" t="inlineStr">
        <is>
          <t>M-04</t>
        </is>
      </c>
      <c r="B22" s="11" t="inlineStr">
        <is>
          <t>M</t>
        </is>
      </c>
      <c r="C22" s="12" t="inlineStr">
        <is>
          <t>Check the confirmation email against the receipt in-app</t>
        </is>
      </c>
      <c r="D22" s="13" t="n"/>
    </row>
    <row r="23">
      <c r="A23" s="10" t="inlineStr">
        <is>
          <t>M-05</t>
        </is>
      </c>
      <c r="B23" s="11" t="inlineStr">
        <is>
          <t>M</t>
        </is>
      </c>
      <c r="C23" s="12" t="inlineStr">
        <is>
          <t>Open the invoice/receipt PDF and actually print it (or print-to-PDF)</t>
        </is>
      </c>
      <c r="D23" s="13" t="n"/>
    </row>
    <row r="24">
      <c r="A24" s="10" t="inlineStr">
        <is>
          <t>M-06</t>
        </is>
      </c>
      <c r="B24" s="11" t="inlineStr">
        <is>
          <t>M</t>
        </is>
      </c>
      <c r="C24" s="12" t="inlineStr">
        <is>
          <t>Repeat a checkout with the decline card 4000…0002</t>
        </is>
      </c>
      <c r="D24" s="13" t="n"/>
    </row>
    <row r="25">
      <c r="A25" s="10" t="inlineStr">
        <is>
          <t>M-07</t>
        </is>
      </c>
      <c r="B25" s="11" t="inlineStr">
        <is>
          <t>M</t>
        </is>
      </c>
      <c r="C25" s="12" t="inlineStr">
        <is>
          <t>Repeat with the 3-D Secure card 4000 0025 0000 3155</t>
        </is>
      </c>
      <c r="D25" s="13" t="n"/>
    </row>
    <row r="26">
      <c r="A26" s="10" t="inlineStr">
        <is>
          <t>M-08</t>
        </is>
      </c>
      <c r="B26" s="11" t="inlineStr">
        <is>
          <t>M</t>
        </is>
      </c>
      <c r="C26" s="12" t="inlineStr">
        <is>
          <t>Start a checkout and abandon it — close the tab mid-payment. Wait 2 minutes, come back</t>
        </is>
      </c>
      <c r="D26" s="13" t="n"/>
    </row>
    <row r="27">
      <c r="A27" s="10" t="inlineStr">
        <is>
          <t>M-09</t>
        </is>
      </c>
      <c r="B27" s="11" t="inlineStr">
        <is>
          <t>M</t>
        </is>
      </c>
      <c r="C27" s="12" t="inlineStr">
        <is>
          <t>Use the browser Back button from inside Stripe checkout</t>
        </is>
      </c>
      <c r="D27" s="13" t="n"/>
    </row>
    <row r="28">
      <c r="A28" s="10" t="inlineStr">
        <is>
          <t>M-10</t>
        </is>
      </c>
      <c r="B28" s="11" t="inlineStr">
        <is>
          <t>M</t>
        </is>
      </c>
      <c r="C28" s="12" t="inlineStr">
        <is>
          <t>Build a cart with registration + add-ons + a change fee together</t>
        </is>
      </c>
      <c r="D28" s="13" t="n"/>
    </row>
    <row r="29">
      <c r="A29" s="10" t="inlineStr">
        <is>
          <t>M-11</t>
        </is>
      </c>
      <c r="B29" s="11" t="inlineStr">
        <is>
          <t>M</t>
        </is>
      </c>
      <c r="C29" s="12" t="inlineStr">
        <is>
          <t>Apply a promo/coupon code</t>
        </is>
      </c>
      <c r="D29" s="13" t="n"/>
    </row>
    <row r="30">
      <c r="A30" s="10" t="inlineStr">
        <is>
          <t>M-12</t>
        </is>
      </c>
      <c r="B30" s="11" t="inlineStr">
        <is>
          <t>M</t>
        </is>
      </c>
      <c r="C30" s="12" t="inlineStr">
        <is>
          <t>Apply a coupon that covers 100% of the total</t>
        </is>
      </c>
      <c r="D30" s="13" t="n"/>
    </row>
    <row r="31">
      <c r="A31" s="10" t="inlineStr">
        <is>
          <t>M-13</t>
        </is>
      </c>
      <c r="B31" s="11" t="inlineStr">
        <is>
          <t>M</t>
        </is>
      </c>
      <c r="C31" s="12" t="inlineStr">
        <is>
          <t>Try an invalid and an expired coupon code</t>
        </is>
      </c>
      <c r="D31" s="13" t="n"/>
    </row>
    <row r="32">
      <c r="A32" s="10" t="inlineStr">
        <is>
          <t>M-14</t>
        </is>
      </c>
      <c r="B32" s="11" t="inlineStr">
        <is>
          <t>M</t>
        </is>
      </c>
      <c r="C32" s="12" t="inlineStr">
        <is>
          <t>Remove a cart line for a new registration you'd added</t>
        </is>
      </c>
      <c r="D32" s="13" t="n"/>
    </row>
    <row r="33">
      <c r="A33" s="10" t="inlineStr">
        <is>
          <t>M-15</t>
        </is>
      </c>
      <c r="B33" s="11" t="inlineStr">
        <is>
          <t>M</t>
        </is>
      </c>
      <c r="C33" s="12" t="inlineStr">
        <is>
          <t>Remove a cart line for a change fee</t>
        </is>
      </c>
      <c r="D33" s="13" t="n"/>
    </row>
    <row r="34">
      <c r="A34" s="10" t="inlineStr">
        <is>
          <t>M-16</t>
        </is>
      </c>
      <c r="B34" s="11" t="inlineStr">
        <is>
          <t>M</t>
        </is>
      </c>
      <c r="C34" s="12" t="inlineStr">
        <is>
          <t>Julia (club manager): fill the club cart, Print Invoice before paying</t>
        </is>
      </c>
      <c r="D34" s="13" t="n"/>
    </row>
    <row r="35">
      <c r="A35" s="10" t="inlineStr">
        <is>
          <t>M-17</t>
        </is>
      </c>
      <c r="B35" s="11" t="inlineStr">
        <is>
          <t>M</t>
        </is>
      </c>
      <c r="C35" s="12" t="inlineStr">
        <is>
          <t>Check the service fee on several different totals</t>
        </is>
      </c>
      <c r="D35" s="13" t="n"/>
    </row>
    <row r="36">
      <c r="A36" s="10" t="inlineStr">
        <is>
          <t>M-18</t>
        </is>
      </c>
      <c r="B36" s="11" t="inlineStr">
        <is>
          <t>M</t>
        </is>
      </c>
      <c r="C36" s="12" t="inlineStr">
        <is>
          <t>Personal cart and a club cart populated at once</t>
        </is>
      </c>
      <c r="D36" s="13" t="n"/>
    </row>
    <row r="37">
      <c r="A37" s="10" t="inlineStr">
        <is>
          <t>M-19</t>
        </is>
      </c>
      <c r="B37" s="11" t="inlineStr">
        <is>
          <t>M</t>
        </is>
      </c>
      <c r="C37" s="12" t="inlineStr">
        <is>
          <t>#/me/purchases after all the above</t>
        </is>
      </c>
      <c r="D37" s="13" t="n"/>
    </row>
    <row r="38">
      <c r="A38" s="10" t="inlineStr">
        <is>
          <t>M-20</t>
        </is>
      </c>
      <c r="B38" s="11" t="inlineStr">
        <is>
          <t>M</t>
        </is>
      </c>
      <c r="C38" s="12" t="inlineStr">
        <is>
          <t>Compare #/me/purchases against the Stripe Dashboard test payments</t>
        </is>
      </c>
      <c r="D38" s="13" t="n"/>
    </row>
    <row r="39" ht="20" customHeight="1">
      <c r="A39" s="9" t="inlineStr">
        <is>
          <t>Z  -  Two-person concurrency (JOINT SESSION — book it)</t>
        </is>
      </c>
    </row>
    <row r="40">
      <c r="A40" s="10" t="inlineStr">
        <is>
          <t>Z-01</t>
        </is>
      </c>
      <c r="B40" s="11" t="inlineStr">
        <is>
          <t>Z</t>
        </is>
      </c>
      <c r="C40" s="12" t="inlineStr">
        <is>
          <t>Simultaneous checkout. Both of you get a cart ready with a different item. Count down 3-2-1 and click Pay at the same moment. Then write down both invoice numbers, verbatim, exactly as shown.</t>
        </is>
      </c>
      <c r="D40" s="13" t="n"/>
    </row>
    <row r="41">
      <c r="A41" s="10" t="inlineStr">
        <is>
          <t>Z-02</t>
        </is>
      </c>
      <c r="B41" s="11" t="inlineStr">
        <is>
          <t>Z</t>
        </is>
      </c>
      <c r="C41" s="12" t="inlineStr">
        <is>
          <t>Simultaneous registration of the same athlete. Nate (as admin) and Julia (as club manager) both register the same athlete for the same event at the same moment</t>
        </is>
      </c>
      <c r="D41" s="13" t="n"/>
    </row>
    <row r="42">
      <c r="A42" s="10" t="inlineStr">
        <is>
          <t>Z-03</t>
        </is>
      </c>
      <c r="B42" s="11" t="inlineStr">
        <is>
          <t>Z</t>
        </is>
      </c>
      <c r="C42" s="12" t="inlineStr">
        <is>
          <t>✅ UNHELD 2026-08-24 — the capacity rework is live. Simultaneous capacity fill: set a per-discipline or per-level cap where you'll collide, both check out at once</t>
        </is>
      </c>
      <c r="D42" s="13" t="n"/>
    </row>
    <row r="43">
      <c r="A43" s="10" t="inlineStr">
        <is>
          <t>Z-04</t>
        </is>
      </c>
      <c r="B43" s="11" t="inlineStr">
        <is>
          <t>Z</t>
        </is>
      </c>
      <c r="C43" s="12" t="inlineStr">
        <is>
          <t>Simultaneous refund approval. Both approve the same refund request at the same moment</t>
        </is>
      </c>
      <c r="D43" s="13" t="n"/>
    </row>
    <row r="44">
      <c r="A44" s="10" t="inlineStr">
        <is>
          <t>Z-05</t>
        </is>
      </c>
      <c r="B44" s="11" t="inlineStr">
        <is>
          <t>Z</t>
        </is>
      </c>
      <c r="C44" s="12" t="inlineStr">
        <is>
          <t>Edit collision. Both open the same event's settings and save different changes</t>
        </is>
      </c>
      <c r="D44" s="13" t="n"/>
    </row>
    <row r="45">
      <c r="A45" s="10" t="inlineStr">
        <is>
          <t>Z-06</t>
        </is>
      </c>
      <c r="B45" s="11" t="inlineStr">
        <is>
          <t>Z</t>
        </is>
      </c>
      <c r="C45" s="12" t="inlineStr">
        <is>
          <t>Judge collision. Both enter a different score for the same athlete/apparatus at the same time</t>
        </is>
      </c>
      <c r="D45" s="13" t="n"/>
    </row>
    <row r="46" ht="20" customHeight="1">
      <c r="A46" s="9" t="inlineStr">
        <is>
          <t>E  -  Email &amp; SMS deliverability</t>
        </is>
      </c>
    </row>
    <row r="47">
      <c r="A47" s="10" t="inlineStr">
        <is>
          <t>E-01</t>
        </is>
      </c>
      <c r="B47" s="11" t="inlineStr">
        <is>
          <t>E</t>
        </is>
      </c>
      <c r="C47" s="12" t="inlineStr">
        <is>
          <t>Trigger each of these and check all four points: signup confirmation, password reset, account invite, club invite, membership welcome, payment/registration confirmation, waiver request, guardian waiver request, sanction submitted, sanction approved, refund requested, refund approved, refund rejected</t>
        </is>
      </c>
      <c r="D47" s="13" t="n"/>
    </row>
    <row r="48">
      <c r="A48" s="10" t="inlineStr">
        <is>
          <t>E-02</t>
        </is>
      </c>
      <c r="B48" s="11" t="inlineStr">
        <is>
          <t>E</t>
        </is>
      </c>
      <c r="C48" s="12" t="inlineStr">
        <is>
          <t>Per-event confirmation email: set a custom body on an event, then register for it (spec §A/§I)</t>
        </is>
      </c>
      <c r="D48" s="13" t="n"/>
    </row>
    <row r="49">
      <c r="A49" s="10" t="inlineStr">
        <is>
          <t>E-03</t>
        </is>
      </c>
      <c r="B49" s="11" t="inlineStr">
        <is>
          <t>E</t>
        </is>
      </c>
      <c r="C49" s="12" t="inlineStr">
        <is>
          <t>Set a from-alias and reply-to on an event, then trigger its confirmation</t>
        </is>
      </c>
      <c r="D49" s="13" t="n"/>
    </row>
    <row r="50">
      <c r="A50" s="10" t="inlineStr">
        <is>
          <t>E-04</t>
        </is>
      </c>
      <c r="B50" s="11" t="inlineStr">
        <is>
          <t>E</t>
        </is>
      </c>
      <c r="C50" s="12" t="inlineStr">
        <is>
          <t>Turn on cc the director and register</t>
        </is>
      </c>
      <c r="D50" s="13" t="n"/>
    </row>
    <row r="51">
      <c r="A51" s="10" t="inlineStr">
        <is>
          <t>E-05</t>
        </is>
      </c>
      <c r="B51" s="11" t="inlineStr">
        <is>
          <t>E</t>
        </is>
      </c>
      <c r="C51" s="12" t="inlineStr">
        <is>
          <t>Admin Communicate: send an email to a filtered group</t>
        </is>
      </c>
      <c r="D51" s="13" t="n"/>
    </row>
    <row r="52">
      <c r="A52" s="10" t="inlineStr">
        <is>
          <t>E-06</t>
        </is>
      </c>
      <c r="B52" s="11" t="inlineStr">
        <is>
          <t>E</t>
        </is>
      </c>
      <c r="C52" s="12" t="inlineStr">
        <is>
          <t>Admin Communicate: use the test send</t>
        </is>
      </c>
      <c r="D52" s="13" t="n"/>
    </row>
    <row r="53">
      <c r="A53" s="10" t="inlineStr">
        <is>
          <t>E-07</t>
        </is>
      </c>
      <c r="B53" s="11" t="inlineStr">
        <is>
          <t>E</t>
        </is>
      </c>
      <c r="C53" s="12" t="inlineStr">
        <is>
          <t>Event Communicate as a host (not an admin)</t>
        </is>
      </c>
      <c r="D53" s="13" t="n"/>
    </row>
    <row r="54">
      <c r="A54" s="10" t="inlineStr">
        <is>
          <t>E-08</t>
        </is>
      </c>
      <c r="B54" s="11" t="inlineStr">
        <is>
          <t>E</t>
        </is>
      </c>
      <c r="C54" s="12" t="inlineStr">
        <is>
          <t>Event Communicate: filter by session, level, discipline</t>
        </is>
      </c>
      <c r="D54" s="13" t="n"/>
    </row>
    <row r="55">
      <c r="A55" s="10" t="inlineStr">
        <is>
          <t>E-09</t>
        </is>
      </c>
      <c r="B55" s="11" t="inlineStr">
        <is>
          <t>E</t>
        </is>
      </c>
      <c r="C55" s="12" t="inlineStr">
        <is>
          <t>Send an SMS to yourself from admin Communicate</t>
        </is>
      </c>
      <c r="D55" s="13" t="n"/>
    </row>
    <row r="56">
      <c r="A56" s="10" t="inlineStr">
        <is>
          <t>E-10</t>
        </is>
      </c>
      <c r="B56" s="11" t="inlineStr">
        <is>
          <t>E</t>
        </is>
      </c>
      <c r="C56" s="12" t="inlineStr">
        <is>
          <t>Reply STOP to that SMS, then try to send to that number again</t>
        </is>
      </c>
      <c r="D56" s="13" t="n"/>
    </row>
    <row r="57">
      <c r="A57" s="10" t="inlineStr">
        <is>
          <t>E-11</t>
        </is>
      </c>
      <c r="B57" s="11" t="inlineStr">
        <is>
          <t>E</t>
        </is>
      </c>
      <c r="C57" s="12" t="inlineStr">
        <is>
          <t>Check the sent log after E-05 and E-09</t>
        </is>
      </c>
      <c r="D57" s="13" t="n"/>
    </row>
    <row r="58">
      <c r="A58" s="10" t="inlineStr">
        <is>
          <t>E-12</t>
        </is>
      </c>
      <c r="B58" s="11" t="inlineStr">
        <is>
          <t>E</t>
        </is>
      </c>
      <c r="C58" s="12" t="inlineStr">
        <is>
          <t>Open the three most important emails on a phone</t>
        </is>
      </c>
      <c r="D58" s="13" t="n"/>
    </row>
    <row r="59">
      <c r="A59" s="10" t="inlineStr">
        <is>
          <t>E-13</t>
        </is>
      </c>
      <c r="B59" s="11" t="inlineStr">
        <is>
          <t>E</t>
        </is>
      </c>
      <c r="C59" s="12" t="inlineStr">
        <is>
          <t>Check whether any of the above landed in spam or Promotions</t>
        </is>
      </c>
      <c r="D59" s="13" t="n"/>
    </row>
    <row r="60" ht="20" customHeight="1">
      <c r="A60" s="9" t="inlineStr">
        <is>
          <t>G  -  Athlete self-service registration</t>
        </is>
      </c>
    </row>
    <row r="61">
      <c r="A61" s="10" t="inlineStr">
        <is>
          <t>G-01</t>
        </is>
      </c>
      <c r="B61" s="11" t="inlineStr">
        <is>
          <t>G</t>
        </is>
      </c>
      <c r="C61" s="12" t="inlineStr">
        <is>
          <t>As a non-member, open an event and try to register</t>
        </is>
      </c>
      <c r="D61" s="13" t="n"/>
    </row>
    <row r="62">
      <c r="A62" s="10" t="inlineStr">
        <is>
          <t>G-02</t>
        </is>
      </c>
      <c r="B62" s="11" t="inlineStr">
        <is>
          <t>G</t>
        </is>
      </c>
      <c r="C62" s="12" t="inlineStr">
        <is>
          <t>Buy the membership through that link, return, register</t>
        </is>
      </c>
      <c r="D62" s="13" t="n"/>
    </row>
    <row r="63">
      <c r="A63" s="10" t="inlineStr">
        <is>
          <t>G-03</t>
        </is>
      </c>
      <c r="B63" s="11" t="inlineStr">
        <is>
          <t>G</t>
        </is>
      </c>
      <c r="C63" s="12" t="inlineStr">
        <is>
          <t>Register while signed out</t>
        </is>
      </c>
      <c r="D63" s="13" t="n"/>
    </row>
    <row r="64">
      <c r="A64" s="10" t="inlineStr">
        <is>
          <t>G-04</t>
        </is>
      </c>
      <c r="B64" s="11" t="inlineStr">
        <is>
          <t>G</t>
        </is>
      </c>
      <c r="C64" s="12" t="inlineStr">
        <is>
          <t>Registration popup: choose disciplines, level, apparatus, all-around</t>
        </is>
      </c>
      <c r="D64" s="13" t="n"/>
    </row>
    <row r="65">
      <c r="A65" s="10" t="inlineStr">
        <is>
          <t>G-05</t>
        </is>
      </c>
      <c r="B65" s="11" t="inlineStr">
        <is>
          <t>G</t>
        </is>
      </c>
      <c r="C65" s="12" t="inlineStr">
        <is>
          <t>T&amp;T: register for multiple disciplines with per-apparatus levels</t>
        </is>
      </c>
      <c r="D65" s="13" t="n"/>
    </row>
    <row r="66">
      <c r="A66" s="10" t="inlineStr">
        <is>
          <t>G-06</t>
        </is>
      </c>
      <c r="B66" s="11" t="inlineStr">
        <is>
          <t>G</t>
        </is>
      </c>
      <c r="C66" s="12" t="inlineStr">
        <is>
          <t>T&amp;T: try to remove your last remaining discipline</t>
        </is>
      </c>
      <c r="D66" s="13" t="n"/>
    </row>
    <row r="67">
      <c r="A67" s="10" t="inlineStr">
        <is>
          <t>G-07</t>
        </is>
      </c>
      <c r="B67" s="11" t="inlineStr">
        <is>
          <t>G</t>
        </is>
      </c>
      <c r="C67" s="12" t="inlineStr">
        <is>
          <t>Synchro: pick a partner from the member list</t>
        </is>
      </c>
      <c r="D67" s="13" t="n"/>
    </row>
    <row r="68">
      <c r="A68" s="10" t="inlineStr">
        <is>
          <t>G-08</t>
        </is>
      </c>
      <c r="B68" s="11" t="inlineStr">
        <is>
          <t>G</t>
        </is>
      </c>
      <c r="C68" s="12" t="inlineStr">
        <is>
          <t>Have your partner pick someone else</t>
        </is>
      </c>
      <c r="D68" s="13" t="n"/>
    </row>
    <row r="69">
      <c r="A69" s="10" t="inlineStr">
        <is>
          <t>G-09</t>
        </is>
      </c>
      <c r="B69" s="11" t="inlineStr">
        <is>
          <t>G</t>
        </is>
      </c>
      <c r="C69" s="12" t="inlineStr">
        <is>
          <t>Add-ons in the popup (banquet / t-shirt / leo / banner)</t>
        </is>
      </c>
      <c r="D69" s="13" t="n"/>
    </row>
    <row r="70">
      <c r="A70" s="10" t="inlineStr">
        <is>
          <t>G-10</t>
        </is>
      </c>
      <c r="B70" s="11" t="inlineStr">
        <is>
          <t>G</t>
        </is>
      </c>
      <c r="C70" s="12" t="inlineStr">
        <is>
          <t>Banquet tickets: buy 2 for yourself</t>
        </is>
      </c>
      <c r="D70" s="13" t="n"/>
    </row>
    <row r="71">
      <c r="A71" s="10" t="inlineStr">
        <is>
          <t>G-11</t>
        </is>
      </c>
      <c r="B71" s="11" t="inlineStr">
        <is>
          <t>G</t>
        </is>
      </c>
      <c r="C71" s="12" t="inlineStr">
        <is>
          <t>Survey questions (where enabled)</t>
        </is>
      </c>
      <c r="D71" s="13" t="n"/>
    </row>
    <row r="72">
      <c r="A72" s="10" t="inlineStr">
        <is>
          <t>G-12</t>
        </is>
      </c>
      <c r="B72" s="11" t="inlineStr">
        <is>
          <t>G</t>
        </is>
      </c>
      <c r="C72" s="12" t="inlineStr">
        <is>
          <t>Check #/me/registrations</t>
        </is>
      </c>
      <c r="D72" s="13" t="n"/>
    </row>
    <row r="73">
      <c r="A73" s="10" t="inlineStr">
        <is>
          <t>G-13</t>
        </is>
      </c>
      <c r="B73" s="11" t="inlineStr">
        <is>
          <t>G</t>
        </is>
      </c>
      <c r="C73" s="12" t="inlineStr">
        <is>
          <t>Edit a competition detail after paying</t>
        </is>
      </c>
      <c r="D73" s="13" t="n"/>
    </row>
    <row r="74">
      <c r="A74" s="10" t="inlineStr">
        <is>
          <t>G-14</t>
        </is>
      </c>
      <c r="B74" s="11" t="inlineStr">
        <is>
          <t>G</t>
        </is>
      </c>
      <c r="C74" s="12" t="inlineStr">
        <is>
          <t>Edit an add-on or a survey answer after paying</t>
        </is>
      </c>
      <c r="D74" s="13" t="n"/>
    </row>
    <row r="75">
      <c r="A75" s="10" t="inlineStr">
        <is>
          <t>G-15</t>
        </is>
      </c>
      <c r="B75" s="11" t="inlineStr">
        <is>
          <t>G</t>
        </is>
      </c>
      <c r="C75" s="12" t="inlineStr">
        <is>
          <t>Try to edit after the change deadline</t>
        </is>
      </c>
      <c r="D75" s="13" t="n"/>
    </row>
    <row r="76">
      <c r="A76" s="10" t="inlineStr">
        <is>
          <t>G-16</t>
        </is>
      </c>
      <c r="B76" s="11" t="inlineStr">
        <is>
          <t>G</t>
        </is>
      </c>
      <c r="C76" s="12" t="inlineStr">
        <is>
          <t>Register during the late-registration window (at or after the event's late-reg start time)</t>
        </is>
      </c>
      <c r="D76" s="13" t="n"/>
    </row>
    <row r="77">
      <c r="A77" s="10" t="inlineStr">
        <is>
          <t>G-17</t>
        </is>
      </c>
      <c r="B77" s="11" t="inlineStr">
        <is>
          <t>G</t>
        </is>
      </c>
      <c r="C77" s="12" t="inlineStr">
        <is>
          <t>Look for the private registration code path (spec §D)</t>
        </is>
      </c>
      <c r="D77" s="13" t="n"/>
    </row>
    <row r="78">
      <c r="A78" s="10" t="inlineStr">
        <is>
          <t>G-18</t>
        </is>
      </c>
      <c r="B78" s="11" t="inlineStr">
        <is>
          <t>G</t>
        </is>
      </c>
      <c r="C78" s="12" t="inlineStr">
        <is>
          <t>Copy the event link with the copy-link button, open it in incognito</t>
        </is>
      </c>
      <c r="D78" s="13" t="n"/>
    </row>
    <row r="79">
      <c r="A79" s="10" t="inlineStr">
        <is>
          <t>G-19</t>
        </is>
      </c>
      <c r="B79" s="11" t="inlineStr">
        <is>
          <t>G</t>
        </is>
      </c>
      <c r="C79" s="12" t="inlineStr">
        <is>
          <t>Register for an event in a different timezone than yours</t>
        </is>
      </c>
      <c r="D79" s="13" t="n"/>
    </row>
    <row r="80">
      <c r="A80" s="10" t="inlineStr">
        <is>
          <t>G-20</t>
        </is>
      </c>
      <c r="B80" s="11" t="inlineStr">
        <is>
          <t>G</t>
        </is>
      </c>
      <c r="C80" s="12" t="inlineStr">
        <is>
          <t>Request a refund on one of your registrations (self-serve popup)</t>
        </is>
      </c>
      <c r="D80" s="13" t="n"/>
    </row>
    <row r="81" ht="20" customHeight="1">
      <c r="A81" s="9" t="inlineStr">
        <is>
          <t>W  -  Membership &amp; waivers</t>
        </is>
      </c>
    </row>
    <row r="82">
      <c r="A82" s="10" t="inlineStr">
        <is>
          <t>W-01</t>
        </is>
      </c>
      <c r="B82" s="11" t="inlineStr">
        <is>
          <t>W</t>
        </is>
      </c>
      <c r="C82" s="12" t="inlineStr">
        <is>
          <t>Buy an athlete membership end to end</t>
        </is>
      </c>
      <c r="D82" s="13" t="n"/>
    </row>
    <row r="83">
      <c r="A83" s="10" t="inlineStr">
        <is>
          <t>W-02</t>
        </is>
      </c>
      <c r="B83" s="11" t="inlineStr">
        <is>
          <t>W</t>
        </is>
      </c>
      <c r="C83" s="12" t="inlineStr">
        <is>
          <t>Buy a coach membership</t>
        </is>
      </c>
      <c r="D83" s="13" t="n"/>
    </row>
    <row r="84">
      <c r="A84" s="10" t="inlineStr">
        <is>
          <t>W-03</t>
        </is>
      </c>
      <c r="B84" s="11" t="inlineStr">
        <is>
          <t>W</t>
        </is>
      </c>
      <c r="C84" s="12" t="inlineStr">
        <is>
          <t>Sign the waiver inline during purchase</t>
        </is>
      </c>
      <c r="D84" s="13" t="n"/>
    </row>
    <row r="85">
      <c r="A85" s="10" t="inlineStr">
        <is>
          <t>W-04</t>
        </is>
      </c>
      <c r="B85" s="11" t="inlineStr">
        <is>
          <t>W</t>
        </is>
      </c>
      <c r="C85" s="12" t="inlineStr">
        <is>
          <t>Sign via the emailed direct link as an adult</t>
        </is>
      </c>
      <c r="D85" s="13" t="n"/>
    </row>
    <row r="86">
      <c r="A86" s="10" t="inlineStr">
        <is>
          <t>W-05</t>
        </is>
      </c>
      <c r="B86" s="11" t="inlineStr">
        <is>
          <t>W</t>
        </is>
      </c>
      <c r="C86" s="12" t="inlineStr">
        <is>
          <t>Guardian path: a minor's membership triggers a guardian waiver request</t>
        </is>
      </c>
      <c r="D86" s="13" t="n"/>
    </row>
    <row r="87">
      <c r="A87" s="10" t="inlineStr">
        <is>
          <t>W-06</t>
        </is>
      </c>
      <c r="B87" s="11" t="inlineStr">
        <is>
          <t>W</t>
        </is>
      </c>
      <c r="C87" s="12" t="inlineStr">
        <is>
          <t>Try signing with the wrong name on the direct link</t>
        </is>
      </c>
      <c r="D87" s="13" t="n"/>
    </row>
    <row r="88">
      <c r="A88" s="10" t="inlineStr">
        <is>
          <t>W-07</t>
        </is>
      </c>
      <c r="B88" s="11" t="inlineStr">
        <is>
          <t>W</t>
        </is>
      </c>
      <c r="C88" s="12" t="inlineStr">
        <is>
          <t>Membership where the club is paying: buy while the club cart is unpaid</t>
        </is>
      </c>
      <c r="D88" s="13" t="n"/>
    </row>
    <row r="89">
      <c r="A89" s="10" t="inlineStr">
        <is>
          <t>W-08</t>
        </is>
      </c>
      <c r="B89" s="11" t="inlineStr">
        <is>
          <t>W</t>
        </is>
      </c>
      <c r="C89" s="12" t="inlineStr">
        <is>
          <t>Same membership after the club pays</t>
        </is>
      </c>
      <c r="D89" s="13" t="n"/>
    </row>
    <row r="90">
      <c r="A90" s="10" t="inlineStr">
        <is>
          <t>W-09</t>
        </is>
      </c>
      <c r="B90" s="11" t="inlineStr">
        <is>
          <t>W</t>
        </is>
      </c>
      <c r="C90" s="12" t="inlineStr">
        <is>
          <t>A membership with both a waiver hold and a club-payment hold</t>
        </is>
      </c>
      <c r="D90" s="13" t="n"/>
    </row>
    <row r="91">
      <c r="A91" s="10" t="inlineStr">
        <is>
          <t>W-10</t>
        </is>
      </c>
      <c r="B91" s="11" t="inlineStr">
        <is>
          <t>W</t>
        </is>
      </c>
      <c r="C91" s="12" t="inlineStr">
        <is>
          <t>Admin view of who has signed which waiver version (#/admin/league → Waivers)</t>
        </is>
      </c>
      <c r="D91" s="13" t="n"/>
    </row>
    <row r="92">
      <c r="A92" s="10" t="inlineStr">
        <is>
          <t>W-11</t>
        </is>
      </c>
      <c r="B92" s="11" t="inlineStr">
        <is>
          <t>W</t>
        </is>
      </c>
      <c r="C92" s="12" t="inlineStr">
        <is>
          <t>Publish a new waiver version, then check an existing signature</t>
        </is>
      </c>
      <c r="D92" s="13" t="n"/>
    </row>
    <row r="93">
      <c r="A93" s="10" t="inlineStr">
        <is>
          <t>W-12</t>
        </is>
      </c>
      <c r="B93" s="11" t="inlineStr">
        <is>
          <t>W</t>
        </is>
      </c>
      <c r="C93" s="12" t="inlineStr">
        <is>
          <t>Buy a membership for a past/future season</t>
        </is>
      </c>
      <c r="D93" s="13" t="n"/>
    </row>
    <row r="94" ht="20" customHeight="1">
      <c r="A94" s="9" t="inlineStr">
        <is>
          <t>K  -  Camps  (Julia)</t>
        </is>
      </c>
    </row>
    <row r="95">
      <c r="A95" s="10" t="inlineStr">
        <is>
          <t>K-01</t>
        </is>
      </c>
      <c r="B95" s="11" t="inlineStr">
        <is>
          <t>K</t>
        </is>
      </c>
      <c r="C95" s="12" t="inlineStr">
        <is>
          <t>Open a camp event as an athlete and register</t>
        </is>
      </c>
      <c r="D95" s="13" t="n"/>
    </row>
    <row r="96">
      <c r="A96" s="10" t="inlineStr">
        <is>
          <t>K-02</t>
        </is>
      </c>
      <c r="B96" s="11" t="inlineStr">
        <is>
          <t>K</t>
        </is>
      </c>
      <c r="C96" s="12" t="inlineStr">
        <is>
          <t>Register for a camp without a club membership</t>
        </is>
      </c>
      <c r="D96" s="13" t="n"/>
    </row>
    <row r="97">
      <c r="A97" s="10" t="inlineStr">
        <is>
          <t>K-03</t>
        </is>
      </c>
      <c r="B97" s="11" t="inlineStr">
        <is>
          <t>K</t>
        </is>
      </c>
      <c r="C97" s="12" t="inlineStr">
        <is>
          <t>Register for a camp without an individual membership</t>
        </is>
      </c>
      <c r="D97" s="13" t="n"/>
    </row>
    <row r="98">
      <c r="A98" s="10" t="inlineStr">
        <is>
          <t>K-04</t>
        </is>
      </c>
      <c r="B98" s="11" t="inlineStr">
        <is>
          <t>K</t>
        </is>
      </c>
      <c r="C98" s="12" t="inlineStr">
        <is>
          <t>Fill in the overnight survey (bedtime / noise / cabin gender / roommate)</t>
        </is>
      </c>
      <c r="D98" s="13" t="n"/>
    </row>
    <row r="99">
      <c r="A99" s="10" t="inlineStr">
        <is>
          <t>K-05</t>
        </is>
      </c>
      <c r="B99" s="11" t="inlineStr">
        <is>
          <t>K</t>
        </is>
      </c>
      <c r="C99" s="12" t="inlineStr">
        <is>
          <t>Edit the survey after registering</t>
        </is>
      </c>
      <c r="D99" s="13" t="n"/>
    </row>
    <row r="100">
      <c r="A100" s="10" t="inlineStr">
        <is>
          <t>K-06</t>
        </is>
      </c>
      <c r="B100" s="11" t="inlineStr">
        <is>
          <t>K</t>
        </is>
      </c>
      <c r="C100" s="12" t="inlineStr">
        <is>
          <t>Camp add-ons (leo/shirt)</t>
        </is>
      </c>
      <c r="D100" s="13" t="n"/>
    </row>
    <row r="101">
      <c r="A101" s="10" t="inlineStr">
        <is>
          <t>K-07</t>
        </is>
      </c>
      <c r="B101" s="11" t="inlineStr">
        <is>
          <t>K</t>
        </is>
      </c>
      <c r="C101" s="12" t="inlineStr">
        <is>
          <t>Camp confirmation email</t>
        </is>
      </c>
      <c r="D101" s="13" t="n"/>
    </row>
    <row r="102">
      <c r="A102" s="10" t="inlineStr">
        <is>
          <t>K-08</t>
        </is>
      </c>
      <c r="B102" s="11" t="inlineStr">
        <is>
          <t>K</t>
        </is>
      </c>
      <c r="C102" s="12" t="inlineStr">
        <is>
          <t>Camp export (admin/host)</t>
        </is>
      </c>
      <c r="D102" s="13" t="n"/>
    </row>
    <row r="103">
      <c r="A103" s="10" t="inlineStr">
        <is>
          <t>K-09</t>
        </is>
      </c>
      <c r="B103" s="11" t="inlineStr">
        <is>
          <t>K</t>
        </is>
      </c>
      <c r="C103" s="12" t="inlineStr">
        <is>
          <t>As a club manager, look at the club page's event picker</t>
        </is>
      </c>
      <c r="D103" s="13" t="n"/>
    </row>
    <row r="104">
      <c r="A104" s="10" t="inlineStr">
        <is>
          <t>K-10</t>
        </is>
      </c>
      <c r="B104" s="11" t="inlineStr">
        <is>
          <t>K</t>
        </is>
      </c>
      <c r="C104" s="12" t="inlineStr">
        <is>
          <t>Edit a camp registration made before 2026-07-23 if any exist</t>
        </is>
      </c>
      <c r="D104" s="13" t="n"/>
    </row>
    <row r="105" ht="20" customHeight="1">
      <c r="A105" s="9" t="inlineStr">
        <is>
          <t>C  -  Club manager</t>
        </is>
      </c>
    </row>
    <row r="106">
      <c r="A106" s="10" t="inlineStr">
        <is>
          <t>C-01</t>
        </is>
      </c>
      <c r="B106" s="11" t="inlineStr">
        <is>
          <t>C</t>
        </is>
      </c>
      <c r="C106" s="12" t="inlineStr">
        <is>
          <t>Club roster: add an athlete, edit one, remove one</t>
        </is>
      </c>
      <c r="D106" s="13" t="n"/>
    </row>
    <row r="107">
      <c r="A107" s="10" t="inlineStr">
        <is>
          <t>C-02</t>
        </is>
      </c>
      <c r="B107" s="11" t="inlineStr">
        <is>
          <t>C</t>
        </is>
      </c>
      <c r="C107" s="12" t="inlineStr">
        <is>
          <t>Send a club invite; accept it from the other side</t>
        </is>
      </c>
      <c r="D107" s="13" t="n"/>
    </row>
    <row r="108">
      <c r="A108" s="10" t="inlineStr">
        <is>
          <t>C-03</t>
        </is>
      </c>
      <c r="B108" s="11" t="inlineStr">
        <is>
          <t>C</t>
        </is>
      </c>
      <c r="C108" s="12" t="inlineStr">
        <is>
          <t>Registered-athletes card: check the status bubbles</t>
        </is>
      </c>
      <c r="D108" s="13" t="n"/>
    </row>
    <row r="109">
      <c r="A109" s="10" t="inlineStr">
        <is>
          <t>C-04</t>
        </is>
      </c>
      <c r="B109" s="11" t="inlineStr">
        <is>
          <t>C</t>
        </is>
      </c>
      <c r="C109" s="12" t="inlineStr">
        <is>
          <t>Swap an athlete in an existing registration</t>
        </is>
      </c>
      <c r="D109" s="13" t="n"/>
    </row>
    <row r="110">
      <c r="A110" s="10" t="inlineStr">
        <is>
          <t>C-05</t>
        </is>
      </c>
      <c r="B110" s="11" t="inlineStr">
        <is>
          <t>C</t>
        </is>
      </c>
      <c r="C110" s="12" t="inlineStr">
        <is>
          <t>Register several athletes at once and check out as the club</t>
        </is>
      </c>
      <c r="D110" s="13" t="n"/>
    </row>
    <row r="111">
      <c r="A111" s="10" t="inlineStr">
        <is>
          <t>C-06</t>
        </is>
      </c>
      <c r="B111" s="11" t="inlineStr">
        <is>
          <t>C</t>
        </is>
      </c>
      <c r="C111" s="12" t="inlineStr">
        <is>
          <t>Add-ons card: assign banquet tickets to specific athletes/coaches and to "EXTRA"</t>
        </is>
      </c>
      <c r="D111" s="13" t="n"/>
    </row>
    <row r="112">
      <c r="A112" s="10" t="inlineStr">
        <is>
          <t>C-07</t>
        </is>
      </c>
      <c r="B112" s="11" t="inlineStr">
        <is>
          <t>C</t>
        </is>
      </c>
      <c r="C112" s="12" t="inlineStr">
        <is>
          <t>T-shirts/leos: quantity + size per unit</t>
        </is>
      </c>
      <c r="D112" s="13" t="n"/>
    </row>
    <row r="113">
      <c r="A113" s="10" t="inlineStr">
        <is>
          <t>C-08</t>
        </is>
      </c>
      <c r="B113" s="11" t="inlineStr">
        <is>
          <t>C</t>
        </is>
      </c>
      <c r="C113" s="12" t="inlineStr">
        <is>
          <t>Club banner: 1 per club with an exact-name text box</t>
        </is>
      </c>
      <c r="D113" s="13" t="n"/>
    </row>
    <row r="114">
      <c r="A114" s="10" t="inlineStr">
        <is>
          <t>C-09</t>
        </is>
      </c>
      <c r="B114" s="11" t="inlineStr">
        <is>
          <t>C</t>
        </is>
      </c>
      <c r="C114" s="12" t="inlineStr">
        <is>
          <t>Members-without-membership card</t>
        </is>
      </c>
      <c r="D114" s="13" t="n"/>
    </row>
    <row r="115">
      <c r="A115" s="10" t="inlineStr">
        <is>
          <t>C-10</t>
        </is>
      </c>
      <c r="B115" s="11" t="inlineStr">
        <is>
          <t>C</t>
        </is>
      </c>
      <c r="C115" s="12" t="inlineStr">
        <is>
          <t>"Create new athlete" (first/last/email) from that card</t>
        </is>
      </c>
      <c r="D115" s="13" t="n"/>
    </row>
    <row r="116">
      <c r="A116" s="10" t="inlineStr">
        <is>
          <t>C-11</t>
        </is>
      </c>
      <c r="B116" s="11" t="inlineStr">
        <is>
          <t>C</t>
        </is>
      </c>
      <c r="C116" s="12" t="inlineStr">
        <is>
          <t>Set Competition Order (MAG/WAG only, not T&amp;T)</t>
        </is>
      </c>
      <c r="D116" s="13" t="n"/>
    </row>
    <row r="117">
      <c r="A117" s="10" t="inlineStr">
        <is>
          <t>C-12</t>
        </is>
      </c>
      <c r="B117" s="11" t="inlineStr">
        <is>
          <t>C</t>
        </is>
      </c>
      <c r="C117" s="12" t="inlineStr">
        <is>
          <t>Admin ticks the lock competition orders checkbox; look again as the club</t>
        </is>
      </c>
      <c r="D117" s="13" t="n"/>
    </row>
    <row r="118">
      <c r="A118" s="10" t="inlineStr">
        <is>
          <t>C-13</t>
        </is>
      </c>
      <c r="B118" s="11" t="inlineStr">
        <is>
          <t>C</t>
        </is>
      </c>
      <c r="C118" s="12" t="inlineStr">
        <is>
          <t>Try to view another club's roster or registrations by editing the URL</t>
        </is>
      </c>
      <c r="D118" s="13" t="n"/>
    </row>
    <row r="119">
      <c r="A119" s="10" t="inlineStr">
        <is>
          <t>C-14</t>
        </is>
      </c>
      <c r="B119" s="11" t="inlineStr">
        <is>
          <t>C</t>
        </is>
      </c>
      <c r="C119" s="12" t="inlineStr">
        <is>
          <t>Per-line refund request from the registered-athletes card</t>
        </is>
      </c>
      <c r="D119" s="13" t="n"/>
    </row>
    <row r="120">
      <c r="A120" s="10" t="inlineStr">
        <is>
          <t>C-15</t>
        </is>
      </c>
      <c r="B120" s="11" t="inlineStr">
        <is>
          <t>C</t>
        </is>
      </c>
      <c r="C120" s="12" t="inlineStr">
        <is>
          <t>Club Cart &amp; Receipts</t>
        </is>
      </c>
      <c r="D120" s="13" t="n"/>
    </row>
    <row r="121" ht="20" customHeight="1">
      <c r="A121" s="9" t="inlineStr">
        <is>
          <t>P  -  Capacity, waitlists &amp; by-session registration</t>
        </is>
      </c>
    </row>
    <row r="122">
      <c r="A122" s="10" t="inlineStr">
        <is>
          <t>P-01</t>
        </is>
      </c>
      <c r="B122" s="11" t="inlineStr">
        <is>
          <t>P</t>
        </is>
      </c>
      <c r="C122" s="12" t="inlineStr">
        <is>
          <t>REWORKED 2026-08-24: confirm the old total participant cap is gone from the wizard (a legacy-cap notice appears on events that had one), then set a per-discipline cap and fill it</t>
        </is>
      </c>
      <c r="D122" s="13" t="n"/>
    </row>
    <row r="123">
      <c r="A123" s="10" t="inlineStr">
        <is>
          <t>P-02</t>
        </is>
      </c>
      <c r="B123" s="11" t="inlineStr">
        <is>
          <t>P</t>
        </is>
      </c>
      <c r="C123" s="12" t="inlineStr">
        <is>
          <t>Per-level caps via the new per-discipline chooser (No cap / one cap for the discipline / per-level caps); fill one level; try the explicit No cap option on another discipline</t>
        </is>
      </c>
      <c r="D123" s="13" t="n"/>
    </row>
    <row r="124">
      <c r="A124" s="10" t="inlineStr">
        <is>
          <t>P-03</t>
        </is>
      </c>
      <c r="B124" s="11" t="inlineStr">
        <is>
          <t>P</t>
        </is>
      </c>
      <c r="C124" s="12" t="inlineStr">
        <is>
          <t>T&amp;T: one cap for the whole discipline; fill it</t>
        </is>
      </c>
      <c r="D124" s="13" t="n"/>
    </row>
    <row r="125">
      <c r="A125" s="10" t="inlineStr">
        <is>
          <t>P-04</t>
        </is>
      </c>
      <c r="B125" s="11" t="inlineStr">
        <is>
          <t>P</t>
        </is>
      </c>
      <c r="C125" s="12" t="inlineStr">
        <is>
          <t>Partial fit: cap has 2 spots, try to register 3 athletes at one level</t>
        </is>
      </c>
      <c r="D125" s="13" t="n"/>
    </row>
    <row r="126">
      <c r="A126" s="10" t="inlineStr">
        <is>
          <t>P-05</t>
        </is>
      </c>
      <c r="B126" s="11" t="inlineStr">
        <is>
          <t>P</t>
        </is>
      </c>
      <c r="C126" s="12" t="inlineStr">
        <is>
          <t>Choose "waitlist the group"</t>
        </is>
      </c>
      <c r="D126" s="13" t="n"/>
    </row>
    <row r="127">
      <c r="A127" s="10" t="inlineStr">
        <is>
          <t>P-06</t>
        </is>
      </c>
      <c r="B127" s="11" t="inlineStr">
        <is>
          <t>P</t>
        </is>
      </c>
      <c r="C127" s="12" t="inlineStr">
        <is>
          <t>Free up space (refund/withdraw/raise the cap)</t>
        </is>
      </c>
      <c r="D127" s="13" t="n"/>
    </row>
    <row r="128">
      <c r="A128" s="10" t="inlineStr">
        <is>
          <t>P-07</t>
        </is>
      </c>
      <c r="B128" s="11" t="inlineStr">
        <is>
          <t>P</t>
        </is>
      </c>
      <c r="C128" s="12" t="inlineStr">
        <is>
          <t>Admin overrides a cap for one case</t>
        </is>
      </c>
      <c r="D128" s="13" t="n"/>
    </row>
    <row r="129">
      <c r="A129" s="10" t="inlineStr">
        <is>
          <t>P-08</t>
        </is>
      </c>
      <c r="B129" s="11" t="inlineStr">
        <is>
          <t>P</t>
        </is>
      </c>
      <c r="C129" s="12" t="inlineStr">
        <is>
          <t>Switch the event to by-session mode; create sessions with per-apparatus routine caps</t>
        </is>
      </c>
      <c r="D129" s="13" t="n"/>
    </row>
    <row r="130">
      <c r="A130" s="10" t="inlineStr">
        <is>
          <t>P-09</t>
        </is>
      </c>
      <c r="B130" s="11" t="inlineStr">
        <is>
          <t>P</t>
        </is>
      </c>
      <c r="C130" s="12" t="inlineStr">
        <is>
          <t>Try to register into a full session</t>
        </is>
      </c>
      <c r="D130" s="13" t="n"/>
    </row>
    <row r="131">
      <c r="A131" s="10" t="inlineStr">
        <is>
          <t>P-10</t>
        </is>
      </c>
      <c r="B131" s="11" t="inlineStr">
        <is>
          <t>P</t>
        </is>
      </c>
      <c r="C131" s="12" t="inlineStr">
        <is>
          <t>Checkout when a selected session lacks space</t>
        </is>
      </c>
      <c r="D131" s="13" t="n"/>
    </row>
    <row r="132">
      <c r="A132" s="10" t="inlineStr">
        <is>
          <t>P-11</t>
        </is>
      </c>
      <c r="B132" s="11" t="inlineStr">
        <is>
          <t>P</t>
        </is>
      </c>
      <c r="C132" s="12" t="inlineStr">
        <is>
          <t>Edit a registration to move sessions</t>
        </is>
      </c>
      <c r="D132" s="13" t="n"/>
    </row>
    <row r="133">
      <c r="A133" s="10" t="inlineStr">
        <is>
          <t>P-12</t>
        </is>
      </c>
      <c r="B133" s="11" t="inlineStr">
        <is>
          <t>P</t>
        </is>
      </c>
      <c r="C133" s="12" t="inlineStr">
        <is>
          <t>Change an athlete's level to one that doesn't fit their session</t>
        </is>
      </c>
      <c r="D133" s="13" t="n"/>
    </row>
    <row r="134">
      <c r="A134" s="10" t="inlineStr">
        <is>
          <t>P-13</t>
        </is>
      </c>
      <c r="B134" s="11" t="inlineStr">
        <is>
          <t>P</t>
        </is>
      </c>
      <c r="C134" s="12" t="inlineStr">
        <is>
          <t>Start a checkout that reserves capacity, then abandon it. Wait ~30 min</t>
        </is>
      </c>
      <c r="D134" s="13" t="n"/>
    </row>
    <row r="135">
      <c r="A135" s="10" t="inlineStr">
        <is>
          <t>P-14</t>
        </is>
      </c>
      <c r="B135" s="11" t="inlineStr">
        <is>
          <t>P</t>
        </is>
      </c>
      <c r="C135" s="12" t="inlineStr">
        <is>
          <t>NEW: cap inputs refuse 0 / negatives / fractions at entry; try lowering a cap below current registrations</t>
        </is>
      </c>
      <c r="D135" s="13" t="n"/>
    </row>
    <row r="136">
      <c r="A136" s="10" t="inlineStr">
        <is>
          <t>P-15</t>
        </is>
      </c>
      <c r="B136" s="11" t="inlineStr">
        <is>
          <t>P</t>
        </is>
      </c>
      <c r="C136" s="12" t="inlineStr">
        <is>
          <t>NEW: capacity progress card (host/admin, event page)</t>
        </is>
      </c>
      <c r="D136" s="13" t="n"/>
    </row>
    <row r="137">
      <c r="A137" s="10" t="inlineStr">
        <is>
          <t>P-16</t>
        </is>
      </c>
      <c r="B137" s="11" t="inlineStr">
        <is>
          <t>P</t>
        </is>
      </c>
      <c r="C137" s="12" t="inlineStr">
        <is>
          <t>NEW: by-session progress — click a session bar</t>
        </is>
      </c>
      <c r="D137" s="13" t="n"/>
    </row>
    <row r="138">
      <c r="A138" s="10" t="inlineStr">
        <is>
          <t>P-17</t>
        </is>
      </c>
      <c r="B138" s="11" t="inlineStr">
        <is>
          <t>P</t>
        </is>
      </c>
      <c r="C138" s="12" t="inlineStr">
        <is>
          <t>NEW: a by-session event with leftover discipline/level caps in its old config</t>
        </is>
      </c>
      <c r="D138" s="13" t="n"/>
    </row>
    <row r="139" ht="20" customHeight="1">
      <c r="A139" s="9" t="inlineStr">
        <is>
          <t>H  -  Sanctioning &amp; event hosting</t>
        </is>
      </c>
    </row>
    <row r="140">
      <c r="A140" s="10" t="inlineStr">
        <is>
          <t>H-01</t>
        </is>
      </c>
      <c r="B140" s="11" t="inlineStr">
        <is>
          <t>H</t>
        </is>
      </c>
      <c r="C140" s="12" t="inlineStr">
        <is>
          <t>Submit a sanction request with the full field set</t>
        </is>
      </c>
      <c r="D140" s="13" t="n"/>
    </row>
    <row r="141">
      <c r="A141" s="10" t="inlineStr">
        <is>
          <t>H-02</t>
        </is>
      </c>
      <c r="B141" s="11" t="inlineStr">
        <is>
          <t>H</t>
        </is>
      </c>
      <c r="C141" s="12" t="inlineStr">
        <is>
          <t>Vote on it from the sanctioning queue</t>
        </is>
      </c>
      <c r="D141" s="13" t="n"/>
    </row>
    <row r="142">
      <c r="A142" s="10" t="inlineStr">
        <is>
          <t>H-03</t>
        </is>
      </c>
      <c r="B142" s="11" t="inlineStr">
        <is>
          <t>H</t>
        </is>
      </c>
      <c r="C142" s="12" t="inlineStr">
        <is>
          <t>Approve it</t>
        </is>
      </c>
      <c r="D142" s="13" t="n"/>
    </row>
    <row r="143">
      <c r="A143" s="10" t="inlineStr">
        <is>
          <t>H-04</t>
        </is>
      </c>
      <c r="B143" s="11" t="inlineStr">
        <is>
          <t>H</t>
        </is>
      </c>
      <c r="C143" s="12" t="inlineStr">
        <is>
          <t>Reject a different request</t>
        </is>
      </c>
      <c r="D143" s="13" t="n"/>
    </row>
    <row r="144">
      <c r="A144" s="10" t="inlineStr">
        <is>
          <t>H-05</t>
        </is>
      </c>
      <c r="B144" s="11" t="inlineStr">
        <is>
          <t>H</t>
        </is>
      </c>
      <c r="C144" s="12" t="inlineStr">
        <is>
          <t>Check for voting reminder emails to non-voters at 3 days and 1 day before the deadline</t>
        </is>
      </c>
      <c r="D144" s="13" t="n"/>
    </row>
    <row r="145">
      <c r="A145" s="10" t="inlineStr">
        <is>
          <t>H-06</t>
        </is>
      </c>
      <c r="B145" s="11" t="inlineStr">
        <is>
          <t>H</t>
        </is>
      </c>
      <c r="C145" s="12" t="inlineStr">
        <is>
          <t>Assign an event owner to an approved event</t>
        </is>
      </c>
      <c r="D145" s="13" t="n"/>
    </row>
    <row r="146">
      <c r="A146" s="10" t="inlineStr">
        <is>
          <t>H-07</t>
        </is>
      </c>
      <c r="B146" s="11" t="inlineStr">
        <is>
          <t>H</t>
        </is>
      </c>
      <c r="C146" s="12" t="inlineStr">
        <is>
          <t>Walk the event-owner checklist: contact, hotel link, medals ordered → tracking, insurance cert, onsite rep, pay host</t>
        </is>
      </c>
      <c r="D146" s="13" t="n"/>
    </row>
    <row r="147">
      <c r="A147" s="10" t="inlineStr">
        <is>
          <t>H-08</t>
        </is>
      </c>
      <c r="B147" s="11" t="inlineStr">
        <is>
          <t>H</t>
        </is>
      </c>
      <c r="C147" s="12" t="inlineStr">
        <is>
          <t>Let a checklist item go overdue</t>
        </is>
      </c>
      <c r="D147" s="13" t="n"/>
    </row>
    <row r="148">
      <c r="A148" s="10" t="inlineStr">
        <is>
          <t>H-09</t>
        </is>
      </c>
      <c r="B148" s="11" t="inlineStr">
        <is>
          <t>H</t>
        </is>
      </c>
      <c r="C148" s="12" t="inlineStr">
        <is>
          <t>Event wizard: create an event using every field — venue, street address, country, hotel link, age-calc datetime, late-reg window + fee, director + cc, per-event confirmation email, caps, registration mode, scoring config</t>
        </is>
      </c>
      <c r="D148" s="13" t="n"/>
    </row>
    <row r="149">
      <c r="A149" s="10" t="inlineStr">
        <is>
          <t>H-10</t>
        </is>
      </c>
      <c r="B149" s="11" t="inlineStr">
        <is>
          <t>H</t>
        </is>
      </c>
      <c r="C149" s="12" t="inlineStr">
        <is>
          <t>Try to upload a schedule attachment (pdf/jpg/png) (spec §A)</t>
        </is>
      </c>
      <c r="D149" s="13" t="n"/>
    </row>
    <row r="150">
      <c r="A150" s="10" t="inlineStr">
        <is>
          <t>H-11</t>
        </is>
      </c>
      <c r="B150" s="11" t="inlineStr">
        <is>
          <t>H</t>
        </is>
      </c>
      <c r="C150" s="12" t="inlineStr">
        <is>
          <t>Open the Event Host page as the host club manager</t>
        </is>
      </c>
      <c r="D150" s="13" t="n"/>
    </row>
    <row r="151">
      <c r="A151" s="10" t="inlineStr">
        <is>
          <t>H-12</t>
        </is>
      </c>
      <c r="B151" s="11" t="inlineStr">
        <is>
          <t>H</t>
        </is>
      </c>
      <c r="C151" s="12" t="inlineStr">
        <is>
          <t>Host page payment status with real paid registrations</t>
        </is>
      </c>
      <c r="D151" s="13" t="n"/>
    </row>
    <row r="152">
      <c r="A152" s="10" t="inlineStr">
        <is>
          <t>H-13</t>
        </is>
      </c>
      <c r="B152" s="11" t="inlineStr">
        <is>
          <t>H</t>
        </is>
      </c>
      <c r="C152" s="12" t="inlineStr">
        <is>
          <t>Host page registration summary</t>
        </is>
      </c>
      <c r="D152" s="13" t="n"/>
    </row>
    <row r="153">
      <c r="A153" s="10" t="inlineStr">
        <is>
          <t>H-14</t>
        </is>
      </c>
      <c r="B153" s="11" t="inlineStr">
        <is>
          <t>H</t>
        </is>
      </c>
      <c r="C153" s="12" t="inlineStr">
        <is>
          <t>Host page Excel download — open it in Excel</t>
        </is>
      </c>
      <c r="D153" s="13" t="n"/>
    </row>
    <row r="154">
      <c r="A154" s="10" t="inlineStr">
        <is>
          <t>H-15</t>
        </is>
      </c>
      <c r="B154" s="11" t="inlineStr">
        <is>
          <t>H</t>
        </is>
      </c>
      <c r="C154" s="12" t="inlineStr">
        <is>
          <t>Event admin grant: host adds another account's email</t>
        </is>
      </c>
      <c r="D154" s="13" t="n"/>
    </row>
    <row r="155">
      <c r="A155" s="10" t="inlineStr">
        <is>
          <t>H-16</t>
        </is>
      </c>
      <c r="B155" s="11" t="inlineStr">
        <is>
          <t>H</t>
        </is>
      </c>
      <c r="C155" s="12" t="inlineStr">
        <is>
          <t>Sign in as that granted account</t>
        </is>
      </c>
      <c r="D155" s="13" t="n"/>
    </row>
    <row r="156">
      <c r="A156" s="10" t="inlineStr">
        <is>
          <t>H-17</t>
        </is>
      </c>
      <c r="B156" s="11" t="inlineStr">
        <is>
          <t>H</t>
        </is>
      </c>
      <c r="C156" s="12" t="inlineStr">
        <is>
          <t>Post-close host edits: after registration closes, edit sessions/schedule, scoring, add/remove athletes and levels/apparatus</t>
        </is>
      </c>
      <c r="D156" s="13" t="n"/>
    </row>
    <row r="157">
      <c r="A157" s="10" t="inlineStr">
        <is>
          <t>H-18</t>
        </is>
      </c>
      <c r="B157" s="11" t="inlineStr">
        <is>
          <t>H</t>
        </is>
      </c>
      <c r="C157" s="12" t="inlineStr">
        <is>
          <t>Event status transitions: draft → published → reg open → reg closed → complete</t>
        </is>
      </c>
      <c r="D157" s="13" t="n"/>
    </row>
    <row r="158">
      <c r="A158" s="10" t="inlineStr">
        <is>
          <t>H-19</t>
        </is>
      </c>
      <c r="B158" s="11" t="inlineStr">
        <is>
          <t>H</t>
        </is>
      </c>
      <c r="C158" s="12" t="inlineStr">
        <is>
          <t>"Publish dates and location only" (listing-only)</t>
        </is>
      </c>
      <c r="D158" s="13" t="n"/>
    </row>
    <row r="159" ht="20" customHeight="1">
      <c r="A159" s="9" t="inlineStr">
        <is>
          <t>N  -  Nationals (Julia)</t>
        </is>
      </c>
    </row>
    <row r="160">
      <c r="A160" s="10" t="inlineStr">
        <is>
          <t>N-01</t>
        </is>
      </c>
      <c r="B160" s="11" t="inlineStr">
        <is>
          <t>N</t>
        </is>
      </c>
      <c r="C160" s="12" t="inlineStr">
        <is>
          <t>Session-request survey as a club: one per WAG level, one for all MAG, one for all T&amp;T</t>
        </is>
      </c>
      <c r="D160" s="13" t="n"/>
    </row>
    <row r="161">
      <c r="A161" s="10" t="inlineStr">
        <is>
          <t>N-02</t>
        </is>
      </c>
      <c r="B161" s="11" t="inlineStr">
        <is>
          <t>N</t>
        </is>
      </c>
      <c r="C161" s="12" t="inlineStr">
        <is>
          <t>Try to check out the event cart with a survey unanswered</t>
        </is>
      </c>
      <c r="D161" s="13" t="n"/>
    </row>
    <row r="162">
      <c r="A162" s="10" t="inlineStr">
        <is>
          <t>N-03</t>
        </is>
      </c>
      <c r="B162" s="11" t="inlineStr">
        <is>
          <t>N</t>
        </is>
      </c>
      <c r="C162" s="12" t="inlineStr">
        <is>
          <t>Independent athlete variant of the survey</t>
        </is>
      </c>
      <c r="D162" s="13" t="n"/>
    </row>
    <row r="163">
      <c r="A163" s="10" t="inlineStr">
        <is>
          <t>N-04</t>
        </is>
      </c>
      <c r="B163" s="11" t="inlineStr">
        <is>
          <t>N</t>
        </is>
      </c>
      <c r="C163" s="12" t="inlineStr">
        <is>
          <t>Edit a survey answer before the change deadline</t>
        </is>
      </c>
      <c r="D163" s="13" t="n"/>
    </row>
    <row r="164">
      <c r="A164" s="10" t="inlineStr">
        <is>
          <t>N-05</t>
        </is>
      </c>
      <c r="B164" s="11" t="inlineStr">
        <is>
          <t>N</t>
        </is>
      </c>
      <c r="C164" s="12" t="inlineStr">
        <is>
          <t>Eligible teams table</t>
        </is>
      </c>
      <c r="D164" s="13" t="n"/>
    </row>
    <row r="165">
      <c r="A165" s="10" t="inlineStr">
        <is>
          <t>N-06</t>
        </is>
      </c>
      <c r="B165" s="11" t="inlineStr">
        <is>
          <t>N</t>
        </is>
      </c>
      <c r="C165" s="12" t="inlineStr">
        <is>
          <t>Placement categories against the gender / override / student-status matrix</t>
        </is>
      </c>
      <c r="D165" s="13" t="n"/>
    </row>
    <row r="166">
      <c r="A166" s="10" t="inlineStr">
        <is>
          <t>N-07</t>
        </is>
      </c>
      <c r="B166" s="11" t="inlineStr">
        <is>
          <t>N</t>
        </is>
      </c>
      <c r="C166" s="12" t="inlineStr">
        <is>
          <t>Finals lineup editor: pick 4 per apparatus, drag to order</t>
        </is>
      </c>
      <c r="D166" s="13" t="n"/>
    </row>
    <row r="167">
      <c r="A167" s="10" t="inlineStr">
        <is>
          <t>N-08</t>
        </is>
      </c>
      <c r="B167" s="11" t="inlineStr">
        <is>
          <t>N</t>
        </is>
      </c>
      <c r="C167" s="12" t="inlineStr">
        <is>
          <t>Admin sets finals_lineup_deadline_at; let it approach</t>
        </is>
      </c>
      <c r="D167" s="13" t="n"/>
    </row>
    <row r="168">
      <c r="A168" s="10" t="inlineStr">
        <is>
          <t>N-09</t>
        </is>
      </c>
      <c r="B168" s="11" t="inlineStr">
        <is>
          <t>N</t>
        </is>
      </c>
      <c r="C168" s="12" t="inlineStr">
        <is>
          <t>10pm hard lock</t>
        </is>
      </c>
      <c r="D168" s="13" t="n"/>
    </row>
    <row r="169">
      <c r="A169" s="10" t="inlineStr">
        <is>
          <t>N-10</t>
        </is>
      </c>
      <c r="B169" s="11" t="inlineStr">
        <is>
          <t>N</t>
        </is>
      </c>
      <c r="C169" s="12" t="inlineStr">
        <is>
          <t>Decathlon/omnithon summary</t>
        </is>
      </c>
      <c r="D169" s="13" t="n"/>
    </row>
    <row r="170">
      <c r="A170" s="10" t="inlineStr">
        <is>
          <t>N-11</t>
        </is>
      </c>
      <c r="B170" s="11" t="inlineStr">
        <is>
          <t>N</t>
        </is>
      </c>
      <c r="C170" s="12" t="inlineStr">
        <is>
          <t>Club coach list</t>
        </is>
      </c>
      <c r="D170" s="13" t="n"/>
    </row>
    <row r="171">
      <c r="A171" s="10" t="inlineStr">
        <is>
          <t>N-12</t>
        </is>
      </c>
      <c r="B171" s="11" t="inlineStr">
        <is>
          <t>N</t>
        </is>
      </c>
      <c r="C171" s="12" t="inlineStr">
        <is>
          <t>Banquet-ticket gap list</t>
        </is>
      </c>
      <c r="D171" s="13" t="n"/>
    </row>
    <row r="172">
      <c r="A172" s="10" t="inlineStr">
        <is>
          <t>N-13</t>
        </is>
      </c>
      <c r="B172" s="11" t="inlineStr">
        <is>
          <t>N</t>
        </is>
      </c>
      <c r="C172" s="12" t="inlineStr">
        <is>
          <t>Assigned-sessions table once sessions leave draft</t>
        </is>
      </c>
      <c r="D172" s="13" t="n"/>
    </row>
    <row r="173">
      <c r="A173" s="10" t="inlineStr">
        <is>
          <t>N-14</t>
        </is>
      </c>
      <c r="B173" s="11" t="inlineStr">
        <is>
          <t>N</t>
        </is>
      </c>
      <c r="C173" s="12" t="inlineStr">
        <is>
          <t>Check-in flow: admin marks a club ready → club admin sees the confirmation checkbox, signs their name, confirms through the "are you sure" popup</t>
        </is>
      </c>
      <c r="D173" s="13" t="n"/>
    </row>
    <row r="174">
      <c r="A174" s="10" t="inlineStr">
        <is>
          <t>N-15</t>
        </is>
      </c>
      <c r="B174" s="11" t="inlineStr">
        <is>
          <t>N</t>
        </is>
      </c>
      <c r="C174" s="12" t="inlineStr">
        <is>
          <t>Check-in page athlete count</t>
        </is>
      </c>
      <c r="D174" s="13" t="n"/>
    </row>
    <row r="175">
      <c r="A175" s="10" t="inlineStr">
        <is>
          <t>N-16</t>
        </is>
      </c>
      <c r="B175" s="11" t="inlineStr">
        <is>
          <t>N</t>
        </is>
      </c>
      <c r="C175" s="12" t="inlineStr">
        <is>
          <t>Admin views the check-in page as another club / an independent athlete</t>
        </is>
      </c>
      <c r="D175" s="13" t="n"/>
    </row>
    <row r="176">
      <c r="A176" s="10" t="inlineStr">
        <is>
          <t>N-17</t>
        </is>
      </c>
      <c r="B176" s="11" t="inlineStr">
        <is>
          <t>N</t>
        </is>
      </c>
      <c r="C176" s="12" t="inlineStr">
        <is>
          <t>Nationals scoring: prelim vs finals sessions, qualification, awards</t>
        </is>
      </c>
      <c r="D176" s="13" t="n"/>
    </row>
    <row r="177" ht="20" customHeight="1">
      <c r="A177" s="9" t="inlineStr">
        <is>
          <t>R  -  Refunds</t>
        </is>
      </c>
    </row>
    <row r="178">
      <c r="A178" s="10" t="inlineStr">
        <is>
          <t>R-01</t>
        </is>
      </c>
      <c r="B178" s="11" t="inlineStr">
        <is>
          <t>R</t>
        </is>
      </c>
      <c r="C178" s="12" t="inlineStr">
        <is>
          <t>Request a refund on a non-UCG-hosted event</t>
        </is>
      </c>
      <c r="D178" s="13" t="n"/>
    </row>
    <row r="179">
      <c r="A179" s="10" t="inlineStr">
        <is>
          <t>R-02</t>
        </is>
      </c>
      <c r="B179" s="11" t="inlineStr">
        <is>
          <t>R</t>
        </is>
      </c>
      <c r="C179" s="12" t="inlineStr">
        <is>
          <t>Request one on a UCG-hosted event, before lastDateToEdit</t>
        </is>
      </c>
      <c r="D179" s="13" t="n"/>
    </row>
    <row r="180">
      <c r="A180" s="10" t="inlineStr">
        <is>
          <t>R-03</t>
        </is>
      </c>
      <c r="B180" s="11" t="inlineStr">
        <is>
          <t>R</t>
        </is>
      </c>
      <c r="C180" s="12" t="inlineStr">
        <is>
          <t>Approve it as the refund manager</t>
        </is>
      </c>
      <c r="D180" s="13" t="n"/>
    </row>
    <row r="181">
      <c r="A181" s="10" t="inlineStr">
        <is>
          <t>R-04</t>
        </is>
      </c>
      <c r="B181" s="11" t="inlineStr">
        <is>
          <t>R</t>
        </is>
      </c>
      <c r="C181" s="12" t="inlineStr">
        <is>
          <t>Verify the refund in the Stripe Dashboard</t>
        </is>
      </c>
      <c r="D181" s="13" t="n"/>
    </row>
    <row r="182">
      <c r="A182" s="10" t="inlineStr">
        <is>
          <t>R-05</t>
        </is>
      </c>
      <c r="B182" s="11" t="inlineStr">
        <is>
          <t>R</t>
        </is>
      </c>
      <c r="C182" s="12" t="inlineStr">
        <is>
          <t>Request another after lastDateToEdit, and approve</t>
        </is>
      </c>
      <c r="D182" s="13" t="n"/>
    </row>
    <row r="183">
      <c r="A183" s="10" t="inlineStr">
        <is>
          <t>R-06</t>
        </is>
      </c>
      <c r="B183" s="11" t="inlineStr">
        <is>
          <t>R</t>
        </is>
      </c>
      <c r="C183" s="12" t="inlineStr">
        <is>
          <t>Look at the athlete after an after-deadline refund</t>
        </is>
      </c>
      <c r="D183" s="13" t="n"/>
    </row>
    <row r="184">
      <c r="A184" s="10" t="inlineStr">
        <is>
          <t>R-07</t>
        </is>
      </c>
      <c r="B184" s="11" t="inlineStr">
        <is>
          <t>R</t>
        </is>
      </c>
      <c r="C184" s="12" t="inlineStr">
        <is>
          <t>Reject a request</t>
        </is>
      </c>
      <c r="D184" s="13" t="n"/>
    </row>
    <row r="185">
      <c r="A185" s="10" t="inlineStr">
        <is>
          <t>R-08</t>
        </is>
      </c>
      <c r="B185" s="11" t="inlineStr">
        <is>
          <t>R</t>
        </is>
      </c>
      <c r="C185" s="12" t="inlineStr">
        <is>
          <t>Refund a single banquet ticket</t>
        </is>
      </c>
      <c r="D185" s="13" t="n"/>
    </row>
    <row r="186">
      <c r="A186" s="10" t="inlineStr">
        <is>
          <t>R-09</t>
        </is>
      </c>
      <c r="B186" s="11" t="inlineStr">
        <is>
          <t>R</t>
        </is>
      </c>
      <c r="C186" s="12" t="inlineStr">
        <is>
          <t>Move a banquet ticket to another athlete / mark it EXTRA</t>
        </is>
      </c>
      <c r="D186" s="13" t="n"/>
    </row>
    <row r="187">
      <c r="A187" s="10" t="inlineStr">
        <is>
          <t>R-10</t>
        </is>
      </c>
      <c r="B187" s="11" t="inlineStr">
        <is>
          <t>R</t>
        </is>
      </c>
      <c r="C187" s="12" t="inlineStr">
        <is>
          <t>Refund one add-on out of a multi-item order</t>
        </is>
      </c>
      <c r="D187" s="13" t="n"/>
    </row>
    <row r="188">
      <c r="A188" s="10" t="inlineStr">
        <is>
          <t>R-11</t>
        </is>
      </c>
      <c r="B188" s="11" t="inlineStr">
        <is>
          <t>R</t>
        </is>
      </c>
      <c r="C188" s="12" t="inlineStr">
        <is>
          <t>Refund a club-paid registration</t>
        </is>
      </c>
      <c r="D188" s="13" t="n"/>
    </row>
    <row r="189">
      <c r="A189" s="10" t="inlineStr">
        <is>
          <t>R-12</t>
        </is>
      </c>
      <c r="B189" s="11" t="inlineStr">
        <is>
          <t>R</t>
        </is>
      </c>
      <c r="C189" s="12" t="inlineStr">
        <is>
          <t>Refund an order that a coupon covered 100%</t>
        </is>
      </c>
      <c r="D189" s="13" t="n"/>
    </row>
    <row r="190">
      <c r="A190" s="10" t="inlineStr">
        <is>
          <t>R-13</t>
        </is>
      </c>
      <c r="B190" s="11" t="inlineStr">
        <is>
          <t>R</t>
        </is>
      </c>
      <c r="C190" s="12" t="inlineStr">
        <is>
          <t>Request more than remains refundable</t>
        </is>
      </c>
      <c r="D190" s="13" t="n"/>
    </row>
    <row r="191">
      <c r="A191" s="10" t="inlineStr">
        <is>
          <t>R-14</t>
        </is>
      </c>
      <c r="B191" s="11" t="inlineStr">
        <is>
          <t>R</t>
        </is>
      </c>
      <c r="C191" s="12" t="inlineStr">
        <is>
          <t>Check #/admin/finance after all refunds</t>
        </is>
      </c>
      <c r="D191" s="13" t="n"/>
    </row>
    <row r="192">
      <c r="A192" s="10" t="inlineStr">
        <is>
          <t>R-15</t>
        </is>
      </c>
      <c r="B192" s="11" t="inlineStr">
        <is>
          <t>R</t>
        </is>
      </c>
      <c r="C192" s="12" t="inlineStr">
        <is>
          <t>NEW (2026-08-24): Withdraw from a UCG-hosted event where your registration cost $0 (100% promo), before lastDateToEdit — the Withdraw button replaces the refund option on My Registrations</t>
        </is>
      </c>
      <c r="D192" s="13" t="n"/>
    </row>
    <row r="193">
      <c r="A193" s="10" t="inlineStr">
        <is>
          <t>R-16</t>
        </is>
      </c>
      <c r="B193" s="11" t="inlineStr">
        <is>
          <t>R</t>
        </is>
      </c>
      <c r="C193" s="12" t="inlineStr">
        <is>
          <t>NEW: Withdraw after lastDateToEdit (any withdrawable registration)</t>
        </is>
      </c>
      <c r="D193" s="13" t="n"/>
    </row>
    <row r="194">
      <c r="A194" s="10" t="inlineStr">
        <is>
          <t>R-17</t>
        </is>
      </c>
      <c r="B194" s="11" t="inlineStr">
        <is>
          <t>R</t>
        </is>
      </c>
      <c r="C194" s="12" t="inlineStr">
        <is>
          <t>NEW: Withdraw from a NON-UCG event (refunds are handled off-platform by the host club)</t>
        </is>
      </c>
      <c r="D194" s="13" t="n"/>
    </row>
    <row r="195">
      <c r="A195" s="10" t="inlineStr">
        <is>
          <t>R-18</t>
        </is>
      </c>
      <c r="B195" s="11" t="inlineStr">
        <is>
          <t>R</t>
        </is>
      </c>
      <c r="C195" s="12" t="inlineStr">
        <is>
          <t>NEW: Check the refund-vs-withdraw button logic across your registrations</t>
        </is>
      </c>
      <c r="D195" s="13" t="n"/>
    </row>
    <row r="196" ht="20" customHeight="1">
      <c r="A196" s="9" t="inlineStr">
        <is>
          <t>F  -  Finance &amp; admin (Nate + Julia as finance_admin)</t>
        </is>
      </c>
    </row>
    <row r="197">
      <c r="A197" s="10" t="inlineStr">
        <is>
          <t>F-01</t>
        </is>
      </c>
      <c r="B197" s="11" t="inlineStr">
        <is>
          <t>F</t>
        </is>
      </c>
      <c r="C197" s="12" t="inlineStr">
        <is>
          <t>Julia opens #/admin/finance as finance_admin, not admin</t>
        </is>
      </c>
      <c r="D197" s="13" t="n"/>
    </row>
    <row r="198">
      <c r="A198" s="10" t="inlineStr">
        <is>
          <t>F-02</t>
        </is>
      </c>
      <c r="B198" s="11" t="inlineStr">
        <is>
          <t>F</t>
        </is>
      </c>
      <c r="C198" s="12" t="inlineStr">
        <is>
          <t>Summary tab: one line per revenue type with its accounting code</t>
        </is>
      </c>
      <c r="D198" s="13" t="n"/>
    </row>
    <row r="199">
      <c r="A199" s="10" t="inlineStr">
        <is>
          <t>F-03</t>
        </is>
      </c>
      <c r="B199" s="11" t="inlineStr">
        <is>
          <t>F</t>
        </is>
      </c>
      <c r="C199" s="12" t="inlineStr">
        <is>
          <t>Check the arithmetic by hand against the Stripe Dashboard for one day</t>
        </is>
      </c>
      <c r="D199" s="13" t="n"/>
    </row>
    <row r="200">
      <c r="A200" s="10" t="inlineStr">
        <is>
          <t>F-04</t>
        </is>
      </c>
      <c r="B200" s="11" t="inlineStr">
        <is>
          <t>F</t>
        </is>
      </c>
      <c r="C200" s="12" t="inlineStr">
        <is>
          <t>Date-range filter, including the smart defaults (reg-open → event+1wk per event; previous month for the aggregate)</t>
        </is>
      </c>
      <c r="D200" s="13" t="n"/>
    </row>
    <row r="201">
      <c r="A201" s="10" t="inlineStr">
        <is>
          <t>F-05</t>
        </is>
      </c>
      <c r="B201" s="11" t="inlineStr">
        <is>
          <t>F</t>
        </is>
      </c>
      <c r="C201" s="12" t="inlineStr">
        <is>
          <t>Per-event finance dashboard</t>
        </is>
      </c>
      <c r="D201" s="13" t="n"/>
    </row>
    <row r="202">
      <c r="A202" s="10" t="inlineStr">
        <is>
          <t>F-06</t>
        </is>
      </c>
      <c r="B202" s="11" t="inlineStr">
        <is>
          <t>F</t>
        </is>
      </c>
      <c r="C202" s="12" t="inlineStr">
        <is>
          <t>Host payout on an event: amount owed + the calculation shown</t>
        </is>
      </c>
      <c r="D202" s="13" t="n"/>
    </row>
    <row r="203">
      <c r="A203" s="10" t="inlineStr">
        <is>
          <t>F-07</t>
        </is>
      </c>
      <c r="B203" s="11" t="inlineStr">
        <is>
          <t>F</t>
        </is>
      </c>
      <c r="C203" s="12" t="inlineStr">
        <is>
          <t>Enter host payment info (date, check# / PayPal / ACH)</t>
        </is>
      </c>
      <c r="D203" s="13" t="n"/>
    </row>
    <row r="204">
      <c r="A204" s="10" t="inlineStr">
        <is>
          <t>F-08</t>
        </is>
      </c>
      <c r="B204" s="11" t="inlineStr">
        <is>
          <t>F</t>
        </is>
      </c>
      <c r="C204" s="12" t="inlineStr">
        <is>
          <t>Invoices/Transactions tab</t>
        </is>
      </c>
      <c r="D204" s="13" t="n"/>
    </row>
    <row r="205">
      <c r="A205" s="10" t="inlineStr">
        <is>
          <t>F-09</t>
        </is>
      </c>
      <c r="B205" s="11" t="inlineStr">
        <is>
          <t>F</t>
        </is>
      </c>
      <c r="C205" s="12" t="inlineStr">
        <is>
          <t>Click through from a summary line to its transactions</t>
        </is>
      </c>
      <c r="D205" s="13" t="n"/>
    </row>
    <row r="206">
      <c r="A206" s="10" t="inlineStr">
        <is>
          <t>F-10</t>
        </is>
      </c>
      <c r="B206" s="11" t="inlineStr">
        <is>
          <t>F</t>
        </is>
      </c>
      <c r="C206" s="12" t="inlineStr">
        <is>
          <t>Export both tabs; open in Excel</t>
        </is>
      </c>
      <c r="D206" s="13" t="n"/>
    </row>
    <row r="207">
      <c r="A207" s="10" t="inlineStr">
        <is>
          <t>F-11</t>
        </is>
      </c>
      <c r="B207" s="11" t="inlineStr">
        <is>
          <t>F</t>
        </is>
      </c>
      <c r="C207" s="12" t="inlineStr">
        <is>
          <t>Accounting-code management: assign codes to purchase-item types</t>
        </is>
      </c>
      <c r="D207" s="13" t="n"/>
    </row>
    <row r="208">
      <c r="A208" s="10" t="inlineStr">
        <is>
          <t>F-12</t>
        </is>
      </c>
      <c r="B208" s="11" t="inlineStr">
        <is>
          <t>F</t>
        </is>
      </c>
      <c r="C208" s="12" t="inlineStr">
        <is>
          <t>#/admin/members: search, open a profile, edit it, export a person's data, delete a person</t>
        </is>
      </c>
      <c r="D208" s="13" t="n"/>
    </row>
    <row r="209">
      <c r="A209" s="10" t="inlineStr">
        <is>
          <t>F-13</t>
        </is>
      </c>
      <c r="B209" s="11" t="inlineStr">
        <is>
          <t>F</t>
        </is>
      </c>
      <c r="C209" s="12" t="inlineStr">
        <is>
          <t>#/admin/clubs: create, edit, manage managers</t>
        </is>
      </c>
      <c r="D209" s="13" t="n"/>
    </row>
    <row r="210">
      <c r="A210" s="10" t="inlineStr">
        <is>
          <t>F-14</t>
        </is>
      </c>
      <c r="B210" s="11" t="inlineStr">
        <is>
          <t>F</t>
        </is>
      </c>
      <c r="C210" s="12" t="inlineStr">
        <is>
          <t>#/admin/league: seasons, levels, regions, promos, waivers, user roles</t>
        </is>
      </c>
      <c r="D210" s="13" t="n"/>
    </row>
    <row r="211">
      <c r="A211" s="10" t="inlineStr">
        <is>
          <t>F-15</t>
        </is>
      </c>
      <c r="B211" s="11" t="inlineStr">
        <is>
          <t>F</t>
        </is>
      </c>
      <c r="C211" s="12" t="inlineStr">
        <is>
          <t>Grant and then revoke a role; have that person refresh</t>
        </is>
      </c>
      <c r="D211" s="13" t="n"/>
    </row>
    <row r="212">
      <c r="A212" s="10" t="inlineStr">
        <is>
          <t>F-16</t>
        </is>
      </c>
      <c r="B212" s="11" t="inlineStr">
        <is>
          <t>F</t>
        </is>
      </c>
      <c r="C212" s="12" t="inlineStr">
        <is>
          <t>#/admin/errors</t>
        </is>
      </c>
      <c r="D212" s="13" t="n"/>
    </row>
    <row r="213">
      <c r="A213" s="10" t="inlineStr">
        <is>
          <t>F-17</t>
        </is>
      </c>
      <c r="B213" s="11" t="inlineStr">
        <is>
          <t>F</t>
        </is>
      </c>
      <c r="C213" s="12" t="inlineStr">
        <is>
          <t>Payments reconciliation tool</t>
        </is>
      </c>
      <c r="D213" s="13" t="n"/>
    </row>
    <row r="214">
      <c r="A214" s="10" t="inlineStr">
        <is>
          <t>F-18</t>
        </is>
      </c>
      <c r="B214" s="11" t="inlineStr">
        <is>
          <t>F</t>
        </is>
      </c>
      <c r="C214" s="12" t="inlineStr">
        <is>
          <t>Manager-access request → review flow</t>
        </is>
      </c>
      <c r="D214" s="13" t="n"/>
    </row>
    <row r="215" ht="20" customHeight="1">
      <c r="A215" s="9" t="inlineStr">
        <is>
          <t>J  -  Judge &amp; meet day (2 devices required)</t>
        </is>
      </c>
    </row>
    <row r="216">
      <c r="A216" s="10" t="inlineStr">
        <is>
          <t>J-01</t>
        </is>
      </c>
      <c r="B216" s="11" t="inlineStr">
        <is>
          <t>J</t>
        </is>
      </c>
      <c r="C216" s="12" t="inlineStr">
        <is>
          <t>Admin/host: generate a judge access code for a live event</t>
        </is>
      </c>
      <c r="D216" s="13" t="n"/>
    </row>
    <row r="217">
      <c r="A217" s="10" t="inlineStr">
        <is>
          <t>J-02</t>
        </is>
      </c>
      <c r="B217" s="11" t="inlineStr">
        <is>
          <t>J</t>
        </is>
      </c>
      <c r="C217" s="12" t="inlineStr">
        <is>
          <t>On device 2, signed out, scan the QR with the real camera</t>
        </is>
      </c>
      <c r="D217" s="13" t="n"/>
    </row>
    <row r="218">
      <c r="A218" s="10" t="inlineStr">
        <is>
          <t>J-03</t>
        </is>
      </c>
      <c r="B218" s="11" t="inlineStr">
        <is>
          <t>J</t>
        </is>
      </c>
      <c r="C218" s="12" t="inlineStr">
        <is>
          <t>On device 2, sign out / clear, then unlock with the 6-digit code</t>
        </is>
      </c>
      <c r="D218" s="13" t="n"/>
    </row>
    <row r="219">
      <c r="A219" s="10" t="inlineStr">
        <is>
          <t>J-04</t>
        </is>
      </c>
      <c r="B219" s="11" t="inlineStr">
        <is>
          <t>J</t>
        </is>
      </c>
      <c r="C219" s="12" t="inlineStr">
        <is>
          <t>Enter a wrong 6-digit code</t>
        </is>
      </c>
      <c r="D219" s="13" t="n"/>
    </row>
    <row r="220">
      <c r="A220" s="10" t="inlineStr">
        <is>
          <t>J-05</t>
        </is>
      </c>
      <c r="B220" s="11" t="inlineStr">
        <is>
          <t>J</t>
        </is>
      </c>
      <c r="C220" s="12" t="inlineStr">
        <is>
          <t>After being rate-limited, unlock with the URL/QR token instead</t>
        </is>
      </c>
      <c r="D220" s="13" t="n"/>
    </row>
    <row r="221">
      <c r="A221" s="10" t="inlineStr">
        <is>
          <t>J-06</t>
        </is>
      </c>
      <c r="B221" s="11" t="inlineStr">
        <is>
          <t>J</t>
        </is>
      </c>
      <c r="C221" s="12" t="inlineStr">
        <is>
          <t>After a successful unlock, try a few bad codes again</t>
        </is>
      </c>
      <c r="D221" s="13" t="n"/>
    </row>
    <row r="222">
      <c r="A222" s="10" t="inlineStr">
        <is>
          <t>J-07</t>
        </is>
      </c>
      <c r="B222" s="11" t="inlineStr">
        <is>
          <t>J</t>
        </is>
      </c>
      <c r="C222" s="12" t="inlineStr">
        <is>
          <t>Enter a real score from the anonymous device</t>
        </is>
      </c>
      <c r="D222" s="13" t="n"/>
    </row>
    <row r="223">
      <c r="A223" s="10" t="inlineStr">
        <is>
          <t>J-08</t>
        </is>
      </c>
      <c r="B223" s="11" t="inlineStr">
        <is>
          <t>J</t>
        </is>
      </c>
      <c r="C223" s="12" t="inlineStr">
        <is>
          <t>Watch that score appear on device 1 without refreshing</t>
        </is>
      </c>
      <c r="D223" s="13" t="n"/>
    </row>
    <row r="224">
      <c r="A224" s="10" t="inlineStr">
        <is>
          <t>J-09</t>
        </is>
      </c>
      <c r="B224" s="11" t="inlineStr">
        <is>
          <t>J</t>
        </is>
      </c>
      <c r="C224" s="12" t="inlineStr">
        <is>
          <t>Use the calculator entry mode</t>
        </is>
      </c>
      <c r="D224" s="13" t="n"/>
    </row>
    <row r="225">
      <c r="A225" s="10" t="inlineStr">
        <is>
          <t>J-10</t>
        </is>
      </c>
      <c r="B225" s="11" t="inlineStr">
        <is>
          <t>J</t>
        </is>
      </c>
      <c r="C225" s="12" t="inlineStr">
        <is>
          <t>Use the simple entry mode</t>
        </is>
      </c>
      <c r="D225" s="13" t="n"/>
    </row>
    <row r="226">
      <c r="A226" s="10" t="inlineStr">
        <is>
          <t>J-11</t>
        </is>
      </c>
      <c r="B226" s="11" t="inlineStr">
        <is>
          <t>J</t>
        </is>
      </c>
      <c r="C226" s="12" t="inlineStr">
        <is>
          <t>Event configured for a 2-judge panel</t>
        </is>
      </c>
      <c r="D226" s="13" t="n"/>
    </row>
    <row r="227">
      <c r="A227" s="10" t="inlineStr">
        <is>
          <t>J-12</t>
        </is>
      </c>
      <c r="B227" s="11" t="inlineStr">
        <is>
          <t>J</t>
        </is>
      </c>
      <c r="C227" s="12" t="inlineStr">
        <is>
          <t>Enter scores for each discipline you support (MAG, WAG, T&amp;T, and the specialty calculators)</t>
        </is>
      </c>
      <c r="D227" s="13" t="n"/>
    </row>
    <row r="228">
      <c r="A228" s="10" t="inlineStr">
        <is>
          <t>J-13</t>
        </is>
      </c>
      <c r="B228" s="11" t="inlineStr">
        <is>
          <t>J</t>
        </is>
      </c>
      <c r="C228" s="12" t="inlineStr">
        <is>
          <t>Edit a posted score</t>
        </is>
      </c>
      <c r="D228" s="13" t="n"/>
    </row>
    <row r="229">
      <c r="A229" s="10" t="inlineStr">
        <is>
          <t>J-14</t>
        </is>
      </c>
      <c r="B229" s="11" t="inlineStr">
        <is>
          <t>J</t>
        </is>
      </c>
      <c r="C229" s="12" t="inlineStr">
        <is>
          <t>Open a score detail page</t>
        </is>
      </c>
      <c r="D229" s="13" t="n"/>
    </row>
    <row r="230">
      <c r="A230" s="10" t="inlineStr">
        <is>
          <t>J-15</t>
        </is>
      </c>
      <c r="B230" s="11" t="inlineStr">
        <is>
          <t>J</t>
        </is>
      </c>
      <c r="C230" s="12" t="inlineStr">
        <is>
          <t>Try score entry on a device with no unlock and no privileged account</t>
        </is>
      </c>
      <c r="D230" s="13" t="n"/>
    </row>
    <row r="231">
      <c r="A231" s="10" t="inlineStr">
        <is>
          <t>J-16</t>
        </is>
      </c>
      <c r="B231" s="11" t="inlineStr">
        <is>
          <t>J</t>
        </is>
      </c>
      <c r="C231" s="12" t="inlineStr">
        <is>
          <t>Judge on a phone in both portrait and landscape, one-handed, on venue-grade wifi — every control reachable in portrait without sideways scrolling (Nate's Z-06 finding)</t>
        </is>
      </c>
      <c r="D231" s="13" t="n"/>
    </row>
    <row r="232">
      <c r="A232" s="10" t="inlineStr">
        <is>
          <t>J-17</t>
        </is>
      </c>
      <c r="B232" s="11" t="inlineStr">
        <is>
          <t>J</t>
        </is>
      </c>
      <c r="C232" s="12" t="inlineStr">
        <is>
          <t>Turn wifi off mid-entry, then back on</t>
        </is>
      </c>
      <c r="D232" s="13" t="n"/>
    </row>
    <row r="233" ht="20" customHeight="1">
      <c r="A233" s="9" t="inlineStr">
        <is>
          <t>X  -  Public &amp; anonymous surfaces</t>
        </is>
      </c>
    </row>
    <row r="234">
      <c r="A234" s="10" t="inlineStr">
        <is>
          <t>X-01</t>
        </is>
      </c>
      <c r="B234" s="11" t="inlineStr">
        <is>
          <t>X</t>
        </is>
      </c>
      <c r="C234" s="12" t="inlineStr">
        <is>
          <t>Public Results index and an event's results</t>
        </is>
      </c>
      <c r="D234" s="13" t="n"/>
    </row>
    <row r="235">
      <c r="A235" s="10" t="inlineStr">
        <is>
          <t>X-02</t>
        </is>
      </c>
      <c r="B235" s="11" t="inlineStr">
        <is>
          <t>X</t>
        </is>
      </c>
      <c r="C235" s="12" t="inlineStr">
        <is>
          <t>Results for an event with scores across multiple sessions</t>
        </is>
      </c>
      <c r="D235" s="13" t="n"/>
    </row>
    <row r="236">
      <c r="A236" s="10" t="inlineStr">
        <is>
          <t>X-03</t>
        </is>
      </c>
      <c r="B236" s="11" t="inlineStr">
        <is>
          <t>X</t>
        </is>
      </c>
      <c r="C236" s="12" t="inlineStr">
        <is>
          <t>Results for an event where some registrations have no session assigned</t>
        </is>
      </c>
      <c r="D236" s="13" t="n"/>
    </row>
    <row r="237">
      <c r="A237" s="10" t="inlineStr">
        <is>
          <t>X-04</t>
        </is>
      </c>
      <c r="B237" s="11" t="inlineStr">
        <is>
          <t>X</t>
        </is>
      </c>
      <c r="C237" s="12" t="inlineStr">
        <is>
          <t>Public Events list and an event detail page</t>
        </is>
      </c>
      <c r="D237" s="13" t="n"/>
    </row>
    <row r="238">
      <c r="A238" s="10" t="inlineStr">
        <is>
          <t>X-05</t>
        </is>
      </c>
      <c r="B238" s="11" t="inlineStr">
        <is>
          <t>X</t>
        </is>
      </c>
      <c r="C238" s="12" t="inlineStr">
        <is>
          <t>Home page while signed out</t>
        </is>
      </c>
      <c r="D238" s="13" t="n"/>
    </row>
    <row r="239">
      <c r="A239" s="10" t="inlineStr">
        <is>
          <t>X-06</t>
        </is>
      </c>
      <c r="B239" s="11" t="inlineStr">
        <is>
          <t>X</t>
        </is>
      </c>
      <c r="C239" s="12" t="inlineStr">
        <is>
          <t>Try #/me, #/cart, #/admin/members while signed out</t>
        </is>
      </c>
      <c r="D239" s="13" t="n"/>
    </row>
    <row r="240">
      <c r="A240" s="10" t="inlineStr">
        <is>
          <t>X-07</t>
        </is>
      </c>
      <c r="B240" s="11" t="inlineStr">
        <is>
          <t>X</t>
        </is>
      </c>
      <c r="C240" s="12" t="inlineStr">
        <is>
          <t>Open a judge access URL you weren't given (guess a token)</t>
        </is>
      </c>
      <c r="D240" s="13" t="n"/>
    </row>
    <row r="241">
      <c r="A241" s="10" t="inlineStr">
        <is>
          <t>X-08</t>
        </is>
      </c>
      <c r="B241" s="11" t="inlineStr">
        <is>
          <t>X</t>
        </is>
      </c>
      <c r="C241" s="12" t="inlineStr">
        <is>
          <t>Share an event link to yourself via text/Slack and open it from there</t>
        </is>
      </c>
      <c r="D241" s="13" t="n"/>
    </row>
    <row r="242">
      <c r="A242" s="10" t="inlineStr">
        <is>
          <t>X-09</t>
        </is>
      </c>
      <c r="B242" s="11" t="inlineStr">
        <is>
          <t>X</t>
        </is>
      </c>
      <c r="C242" s="12" t="inlineStr">
        <is>
          <t>Public pages on a phone</t>
        </is>
      </c>
      <c r="D242" s="13" t="n"/>
    </row>
    <row r="243" ht="20" customHeight="1">
      <c r="A243" s="9" t="inlineStr">
        <is>
          <t>D  -  Devices, responsive &amp; PWA</t>
        </is>
      </c>
    </row>
    <row r="244">
      <c r="A244" s="10" t="inlineStr">
        <is>
          <t>D-01</t>
        </is>
      </c>
      <c r="B244" s="11" t="inlineStr">
        <is>
          <t>D</t>
        </is>
      </c>
      <c r="C244" s="12" t="inlineStr">
        <is>
          <t>Full pass on an iPhone (Safari) — sign in, register, cart, profile</t>
        </is>
      </c>
      <c r="D244" s="13" t="n"/>
    </row>
    <row r="245">
      <c r="A245" s="10" t="inlineStr">
        <is>
          <t>D-02</t>
        </is>
      </c>
      <c r="B245" s="11" t="inlineStr">
        <is>
          <t>D</t>
        </is>
      </c>
      <c r="C245" s="12" t="inlineStr">
        <is>
          <t>Full pass on an Android (Chrome)</t>
        </is>
      </c>
      <c r="D245" s="13" t="n"/>
    </row>
    <row r="246">
      <c r="A246" s="10" t="inlineStr">
        <is>
          <t>D-03</t>
        </is>
      </c>
      <c r="B246" s="11" t="inlineStr">
        <is>
          <t>D</t>
        </is>
      </c>
      <c r="C246" s="12" t="inlineStr">
        <is>
          <t>Tablet, both orientations</t>
        </is>
      </c>
      <c r="D246" s="13" t="n"/>
    </row>
    <row r="247">
      <c r="A247" s="10" t="inlineStr">
        <is>
          <t>D-04</t>
        </is>
      </c>
      <c r="B247" s="11" t="inlineStr">
        <is>
          <t>D</t>
        </is>
      </c>
      <c r="C247" s="12" t="inlineStr">
        <is>
          <t>The mobile nav drawer: open, navigate, close</t>
        </is>
      </c>
      <c r="D247" s="13" t="n"/>
    </row>
    <row r="248">
      <c r="A248" s="10" t="inlineStr">
        <is>
          <t>D-05</t>
        </is>
      </c>
      <c r="B248" s="11" t="inlineStr">
        <is>
          <t>D</t>
        </is>
      </c>
      <c r="C248" s="12" t="inlineStr">
        <is>
          <t>Every modal on a phone — registration popup, refund dialog, report-a-problem</t>
        </is>
      </c>
      <c r="D248" s="13" t="n"/>
    </row>
    <row r="249">
      <c r="A249" s="10" t="inlineStr">
        <is>
          <t>D-06</t>
        </is>
      </c>
      <c r="B249" s="11" t="inlineStr">
        <is>
          <t>D</t>
        </is>
      </c>
      <c r="C249" s="12" t="inlineStr">
        <is>
          <t>Wide tables on a phone — admin members, finance transactions, host summary</t>
        </is>
      </c>
      <c r="D249" s="13" t="n"/>
    </row>
    <row r="250">
      <c r="A250" s="10" t="inlineStr">
        <is>
          <t>D-07</t>
        </is>
      </c>
      <c r="B250" s="11" t="inlineStr">
        <is>
          <t>D</t>
        </is>
      </c>
      <c r="C250" s="12" t="inlineStr">
        <is>
          <t>Install the PWA ("Add to Home Screen") on iOS and Android</t>
        </is>
      </c>
      <c r="D250" s="13" t="n"/>
    </row>
    <row r="251">
      <c r="A251" s="10" t="inlineStr">
        <is>
          <t>D-08</t>
        </is>
      </c>
      <c r="B251" s="11" t="inlineStr">
        <is>
          <t>D</t>
        </is>
      </c>
      <c r="C251" s="12" t="inlineStr">
        <is>
          <t>Use the installed PWA for a full registration flow</t>
        </is>
      </c>
      <c r="D251" s="13" t="n"/>
    </row>
    <row r="252">
      <c r="A252" s="10" t="inlineStr">
        <is>
          <t>D-09</t>
        </is>
      </c>
      <c r="B252" s="11" t="inlineStr">
        <is>
          <t>D</t>
        </is>
      </c>
      <c r="C252" s="12" t="inlineStr">
        <is>
          <t>PWA update path: with the PWA installed, wait for the next deploy, then reopen it</t>
        </is>
      </c>
      <c r="D252" s="13" t="n"/>
    </row>
    <row r="253">
      <c r="A253" s="10" t="inlineStr">
        <is>
          <t>D-10</t>
        </is>
      </c>
      <c r="B253" s="11" t="inlineStr">
        <is>
          <t>D</t>
        </is>
      </c>
      <c r="C253" s="12" t="inlineStr">
        <is>
          <t>Dark mode (OS-level) on a few pages</t>
        </is>
      </c>
      <c r="D253" s="13" t="n"/>
    </row>
    <row r="254">
      <c r="A254" s="10" t="inlineStr">
        <is>
          <t>D-11</t>
        </is>
      </c>
      <c r="B254" s="11" t="inlineStr">
        <is>
          <t>D</t>
        </is>
      </c>
      <c r="C254" s="12" t="inlineStr">
        <is>
          <t>Browser zoom to 200% on desktop</t>
        </is>
      </c>
      <c r="D254" s="13" t="n"/>
    </row>
    <row r="255">
      <c r="A255" s="10" t="inlineStr">
        <is>
          <t>D-12</t>
        </is>
      </c>
      <c r="B255" s="11" t="inlineStr">
        <is>
          <t>D</t>
        </is>
      </c>
      <c r="C255" s="12" t="inlineStr">
        <is>
          <t>Rotate the phone mid-form</t>
        </is>
      </c>
      <c r="D255" s="13" t="n"/>
    </row>
    <row r="256">
      <c r="A256" s="10" t="inlineStr">
        <is>
          <t>D-13</t>
        </is>
      </c>
      <c r="B256" s="11" t="inlineStr">
        <is>
          <t>D</t>
        </is>
      </c>
      <c r="C256" s="12" t="inlineStr">
        <is>
          <t>Firefox and Edge, one flow each</t>
        </is>
      </c>
      <c r="D256" s="13" t="n"/>
    </row>
    <row r="257" ht="20" customHeight="1">
      <c r="A257" s="9" t="inlineStr">
        <is>
          <t>Y  -  Keyboard &amp; accessibility (Nate)</t>
        </is>
      </c>
    </row>
    <row r="258">
      <c r="A258" s="10" t="inlineStr">
        <is>
          <t>Y-01</t>
        </is>
      </c>
      <c r="B258" s="11" t="inlineStr">
        <is>
          <t>Y</t>
        </is>
      </c>
      <c r="C258" s="12" t="inlineStr">
        <is>
          <t>Unplug the mouse. Complete one full registration + checkout using only the keyboard</t>
        </is>
      </c>
      <c r="D258" s="13" t="n"/>
    </row>
    <row r="259">
      <c r="A259" s="10" t="inlineStr">
        <is>
          <t>Y-02</t>
        </is>
      </c>
      <c r="B259" s="11" t="inlineStr">
        <is>
          <t>Y</t>
        </is>
      </c>
      <c r="C259" s="12" t="inlineStr">
        <is>
          <t>Tab through a page — is the focus ring always visible?</t>
        </is>
      </c>
      <c r="D259" s="13" t="n"/>
    </row>
    <row r="260">
      <c r="A260" s="10" t="inlineStr">
        <is>
          <t>Y-03</t>
        </is>
      </c>
      <c r="B260" s="11" t="inlineStr">
        <is>
          <t>Y</t>
        </is>
      </c>
      <c r="C260" s="12" t="inlineStr">
        <is>
          <t>Press Enter and Space on buttons — especially Details/Hide toggles, the judge score stepper, Copy-link buttons</t>
        </is>
      </c>
      <c r="D260" s="13" t="n"/>
    </row>
    <row r="261">
      <c r="A261" s="10" t="inlineStr">
        <is>
          <t>Y-04</t>
        </is>
      </c>
      <c r="B261" s="11" t="inlineStr">
        <is>
          <t>Y</t>
        </is>
      </c>
      <c r="C261" s="12" t="inlineStr">
        <is>
          <t>Open a modal, then press Tab repeatedly</t>
        </is>
      </c>
      <c r="D261" s="13" t="n"/>
    </row>
    <row r="262">
      <c r="A262" s="10" t="inlineStr">
        <is>
          <t>Y-05</t>
        </is>
      </c>
      <c r="B262" s="11" t="inlineStr">
        <is>
          <t>Y</t>
        </is>
      </c>
      <c r="C262" s="12" t="inlineStr">
        <is>
          <t>Press Escape in a modal with unsaved changes</t>
        </is>
      </c>
      <c r="D262" s="13" t="n"/>
    </row>
    <row r="263">
      <c r="A263" s="10" t="inlineStr">
        <is>
          <t>Y-06</t>
        </is>
      </c>
      <c r="B263" s="11" t="inlineStr">
        <is>
          <t>Y</t>
        </is>
      </c>
      <c r="C263" s="12" t="inlineStr">
        <is>
          <t>Press Escape with two dialogs stacked</t>
        </is>
      </c>
      <c r="D263" s="13" t="n"/>
    </row>
    <row r="264">
      <c r="A264" s="10" t="inlineStr">
        <is>
          <t>Y-07</t>
        </is>
      </c>
      <c r="B264" s="11" t="inlineStr">
        <is>
          <t>Y</t>
        </is>
      </c>
      <c r="C264" s="12" t="inlineStr">
        <is>
          <t>Close a modal</t>
        </is>
      </c>
      <c r="D264" s="13" t="n"/>
    </row>
    <row r="265">
      <c r="A265" s="10" t="inlineStr">
        <is>
          <t>Y-08</t>
        </is>
      </c>
      <c r="B265" s="11" t="inlineStr">
        <is>
          <t>Y</t>
        </is>
      </c>
      <c r="C265" s="12" t="inlineStr">
        <is>
          <t>Tab order on a long form (Profile)</t>
        </is>
      </c>
      <c r="D265" s="13" t="n"/>
    </row>
    <row r="266">
      <c r="A266" s="10" t="inlineStr">
        <is>
          <t>Y-09</t>
        </is>
      </c>
      <c r="B266" s="11" t="inlineStr">
        <is>
          <t>Y</t>
        </is>
      </c>
      <c r="C266" s="12" t="inlineStr">
        <is>
          <t>Squint-test every screen for low-contrast text</t>
        </is>
      </c>
      <c r="D266" s="13" t="n"/>
    </row>
    <row r="267">
      <c r="A267" s="10" t="inlineStr">
        <is>
          <t>Y-10</t>
        </is>
      </c>
      <c r="B267" s="11" t="inlineStr">
        <is>
          <t>Y</t>
        </is>
      </c>
      <c r="C267" s="12" t="inlineStr">
        <is>
          <t>If you have VoiceOver/Narrator, skim the Profile page</t>
        </is>
      </c>
      <c r="D267" s="13" t="n"/>
    </row>
    <row r="268">
      <c r="A268" s="14" t="inlineStr">
        <is>
          <t>EXTRA  -  findings not tied to a step (use e.g. M-X-01)</t>
        </is>
      </c>
    </row>
    <row r="269">
      <c r="A269" s="13" t="n"/>
      <c r="D269" s="13" t="n"/>
    </row>
    <row r="270">
      <c r="A270" s="13" t="n"/>
      <c r="D270" s="13" t="n"/>
    </row>
    <row r="271">
      <c r="A271" s="13" t="n"/>
      <c r="D271" s="13" t="n"/>
    </row>
    <row r="272">
      <c r="A272" s="13" t="n"/>
      <c r="D272" s="13" t="n"/>
    </row>
    <row r="273">
      <c r="A273" s="13" t="n"/>
      <c r="D273" s="13" t="n"/>
    </row>
    <row r="274">
      <c r="A274" s="13" t="n"/>
      <c r="D274" s="13" t="n"/>
    </row>
    <row r="275">
      <c r="A275" s="13" t="n"/>
      <c r="D275" s="13" t="n"/>
    </row>
    <row r="276">
      <c r="A276" s="13" t="n"/>
      <c r="D276" s="13" t="n"/>
    </row>
    <row r="277">
      <c r="A277" s="13" t="n"/>
      <c r="D277" s="13" t="n"/>
    </row>
    <row r="278">
      <c r="A278" s="13" t="n"/>
      <c r="D278" s="13" t="n"/>
    </row>
    <row r="279">
      <c r="A279" s="13" t="n"/>
      <c r="D279" s="13" t="n"/>
    </row>
    <row r="280">
      <c r="A280" s="13" t="n"/>
      <c r="D280" s="13" t="n"/>
    </row>
    <row r="281">
      <c r="A281" s="13" t="n"/>
      <c r="D281" s="13" t="n"/>
    </row>
    <row r="282">
      <c r="A282" s="13" t="n"/>
      <c r="D282" s="13" t="n"/>
    </row>
    <row r="283">
      <c r="A283" s="13" t="n"/>
      <c r="D283" s="13" t="n"/>
    </row>
    <row r="284">
      <c r="A284" s="13" t="n"/>
      <c r="D284" s="13" t="n"/>
    </row>
    <row r="285">
      <c r="A285" s="13" t="n"/>
      <c r="D285" s="13" t="n"/>
    </row>
    <row r="286">
      <c r="A286" s="13" t="n"/>
      <c r="D286" s="13" t="n"/>
    </row>
    <row r="287">
      <c r="A287" s="13" t="n"/>
      <c r="D287" s="13" t="n"/>
    </row>
    <row r="288">
      <c r="A288" s="13" t="n"/>
      <c r="D288" s="13" t="n"/>
    </row>
    <row r="289">
      <c r="A289" s="13" t="n"/>
      <c r="D289" s="13" t="n"/>
    </row>
    <row r="290">
      <c r="A290" s="13" t="n"/>
      <c r="D290" s="13" t="n"/>
    </row>
    <row r="291">
      <c r="A291" s="13" t="n"/>
      <c r="D291" s="13" t="n"/>
    </row>
    <row r="292">
      <c r="A292" s="13" t="n"/>
      <c r="D292" s="13" t="n"/>
    </row>
    <row r="293">
      <c r="A293" s="13" t="n"/>
      <c r="D293" s="13" t="n"/>
    </row>
    <row r="294">
      <c r="A294" s="13" t="n"/>
      <c r="D294" s="13" t="n"/>
    </row>
    <row r="295">
      <c r="A295" s="13" t="n"/>
      <c r="D295" s="13" t="n"/>
    </row>
    <row r="296">
      <c r="A296" s="13" t="n"/>
      <c r="D296" s="13" t="n"/>
    </row>
    <row r="297">
      <c r="A297" s="13" t="n"/>
      <c r="D297" s="13" t="n"/>
    </row>
    <row r="298">
      <c r="A298" s="13" t="n"/>
      <c r="D298" s="13" t="n"/>
    </row>
    <row r="299">
      <c r="A299" s="13" t="n"/>
      <c r="D299" s="13" t="n"/>
    </row>
    <row r="300">
      <c r="A300" s="13" t="n"/>
      <c r="D300" s="13" t="n"/>
    </row>
    <row r="301">
      <c r="A301" s="13" t="n"/>
      <c r="D301" s="13" t="n"/>
    </row>
    <row r="302">
      <c r="A302" s="13" t="n"/>
      <c r="D302" s="13" t="n"/>
    </row>
    <row r="303">
      <c r="A303" s="13" t="n"/>
      <c r="D303" s="13" t="n"/>
    </row>
    <row r="304">
      <c r="A304" s="13" t="n"/>
      <c r="D304" s="13" t="n"/>
    </row>
    <row r="305">
      <c r="A305" s="13" t="n"/>
      <c r="D305" s="13" t="n"/>
    </row>
    <row r="306">
      <c r="A306" s="13" t="n"/>
      <c r="D306" s="13" t="n"/>
    </row>
    <row r="307">
      <c r="A307" s="13" t="n"/>
      <c r="D307" s="13" t="n"/>
    </row>
    <row r="308">
      <c r="A308" s="13" t="n"/>
      <c r="D308" s="13" t="n"/>
    </row>
  </sheetData>
  <autoFilter ref="A1:O308"/>
  <mergeCells count="18">
    <mergeCell ref="A196:O196"/>
    <mergeCell ref="A81:O81"/>
    <mergeCell ref="A257:O257"/>
    <mergeCell ref="A243:O243"/>
    <mergeCell ref="A105:O105"/>
    <mergeCell ref="A121:O121"/>
    <mergeCell ref="A60:O60"/>
    <mergeCell ref="A139:O139"/>
    <mergeCell ref="A177:O177"/>
    <mergeCell ref="A268:O268"/>
    <mergeCell ref="A94:O94"/>
    <mergeCell ref="A46:O46"/>
    <mergeCell ref="A233:O233"/>
    <mergeCell ref="A159:O159"/>
    <mergeCell ref="A18:O18"/>
    <mergeCell ref="A3:O3"/>
    <mergeCell ref="A215:O215"/>
    <mergeCell ref="A39:O39"/>
  </mergeCells>
  <dataValidations count="4">
    <dataValidation sqref="D2:D308" showDropDown="0" showInputMessage="0" showErrorMessage="0" allowBlank="1" type="list">
      <formula1>"PASS,FAIL,MISSING,UNCLEAR,BLOCKED,N/A"</formula1>
    </dataValidation>
    <dataValidation sqref="F2:F308" showDropDown="0" showInputMessage="0" showErrorMessage="0" allowBlank="1" type="list">
      <formula1>"S1,S2,S3,S4,Q,D"</formula1>
    </dataValidation>
    <dataValidation sqref="J2:J308" showDropDown="0" showInputMessage="0" showErrorMessage="0" allowBlank="1" type="list">
      <formula1>"Y,N,N/A"</formula1>
    </dataValidation>
    <dataValidation sqref="N2:N30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6" customWidth="1" min="3" max="3"/>
    <col width="52" customWidth="1" min="4" max="4"/>
  </cols>
  <sheetData>
    <row r="1">
      <c r="A1" s="15" t="inlineStr">
        <is>
          <t>Decisions needed - no testing required, just Julia's answer</t>
        </is>
      </c>
    </row>
    <row r="3" ht="30" customHeight="1">
      <c r="A3" s="7" t="inlineStr">
        <is>
          <t>#</t>
        </is>
      </c>
      <c r="B3" s="7" t="inlineStr">
        <is>
          <t>Topic</t>
        </is>
      </c>
      <c r="C3" s="7" t="inlineStr">
        <is>
          <t>The question</t>
        </is>
      </c>
      <c r="D3" s="7" t="inlineStr">
        <is>
          <t>Julia's answer</t>
        </is>
      </c>
    </row>
    <row r="4" ht="58" customHeight="1">
      <c r="A4" s="16" t="inlineStr">
        <is>
          <t>D-1</t>
        </is>
      </c>
      <c r="B4" s="17" t="inlineStr">
        <is>
          <t>Camps and club managers</t>
        </is>
      </c>
      <c r="C4" s="18" t="inlineStr">
        <is>
          <t>Spec SS-G says camps are individual self-registration only, but a club manager can still register athletes for one. Block it outright, or keep it as a convenience?</t>
        </is>
      </c>
      <c r="D4" s="19" t="n"/>
    </row>
    <row r="5" ht="58" customHeight="1">
      <c r="A5" s="16" t="inlineStr">
        <is>
          <t>D-2</t>
        </is>
      </c>
      <c r="B5" s="17" t="inlineStr">
        <is>
          <t>Host payout timing</t>
        </is>
      </c>
      <c r="C5" s="18" t="inlineStr">
        <is>
          <t>The 'owed' formula is settled (gross before fees, refunds not deducted). WHEN payout happens is still just wording on the host page. Is '1 week after the event' the policy?</t>
        </is>
      </c>
      <c r="D5" s="19" t="n"/>
    </row>
    <row r="6" ht="58" customHeight="1">
      <c r="A6" s="16" t="inlineStr">
        <is>
          <t>D-3</t>
        </is>
      </c>
      <c r="B6" s="17" t="inlineStr">
        <is>
          <t>Hosts and SMS</t>
        </is>
      </c>
      <c r="C6" s="18" t="inlineStr">
        <is>
          <t>Hosts currently get email only from the event Communicate page; SMS stays league-admin-only because each text bills UCG. Still right?</t>
        </is>
      </c>
      <c r="D6" s="19" t="n"/>
    </row>
    <row r="7" ht="58" customHeight="1">
      <c r="A7" s="16" t="inlineStr">
        <is>
          <t>D-4</t>
        </is>
      </c>
      <c r="B7" s="17" t="inlineStr">
        <is>
          <t>Invoice numbering format</t>
        </is>
      </c>
      <c r="C7" s="18" t="inlineStr">
        <is>
          <t>Two formats coexist. Which one do you want on real financial records?</t>
        </is>
      </c>
      <c r="D7" s="19" t="n"/>
    </row>
    <row r="8" ht="58" customHeight="1">
      <c r="A8" s="16" t="inlineStr">
        <is>
          <t>D-5</t>
        </is>
      </c>
      <c r="B8" s="17" t="inlineStr">
        <is>
          <t>Refund policy edges</t>
        </is>
      </c>
      <c r="C8" s="18" t="inlineStr">
        <is>
          <t>After-deadline is 75% before processing fees. Should add-ons follow the same 75% rule, or refund in full?</t>
        </is>
      </c>
      <c r="D8" s="19" t="n"/>
    </row>
    <row r="9" ht="58" customHeight="1">
      <c r="A9" s="16" t="inlineStr">
        <is>
          <t>D-6</t>
        </is>
      </c>
      <c r="B9" s="17" t="inlineStr">
        <is>
          <t>Anything in the known-gaps appendix that should not wait</t>
        </is>
      </c>
      <c r="C9" s="18" t="inlineStr">
        <is>
          <t>List anything from Appendix A you want prioritized, and why.</t>
        </is>
      </c>
      <c r="D9" s="19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2026-08-24T17:31:04Z</dcterms:created>
  <dcterms:modified xmlns:dcterms="http://purl.org/dc/terms/" xmlns:xsi="http://www.w3.org/2001/XMLSchema-instance" xsi:type="dcterms:W3CDTF">2026-08-24T17:31:05Z</dcterms:modified>
</cp:coreProperties>
</file>